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Headcount Pla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;&quot;($&quot;#,##0\);\-"/>
    <numFmt numFmtId="165" formatCode="0.0%;\(0.0%\);\-"/>
    <numFmt numFmtId="166" formatCode="\-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CADCFC"/>
      <sz val="9"/>
    </font>
    <font>
      <name val="Arial"/>
      <charset val="1"/>
      <family val="0"/>
      <i val="1"/>
      <color rgb="FF0000FF"/>
      <sz val="8"/>
    </font>
    <font>
      <name val="Arial"/>
      <charset val="1"/>
      <family val="0"/>
      <i val="1"/>
      <color rgb="FF000000"/>
      <sz val="8"/>
    </font>
    <font>
      <name val="Arial"/>
      <charset val="1"/>
      <family val="0"/>
      <i val="1"/>
      <color rgb="FF006400"/>
      <sz val="8"/>
    </font>
    <font>
      <name val="Arial"/>
      <charset val="1"/>
      <family val="0"/>
      <i val="1"/>
      <color rgb="FFB8860B"/>
      <sz val="8"/>
    </font>
    <font>
      <name val="Arial"/>
      <charset val="1"/>
      <family val="0"/>
      <b val="1"/>
      <color rgb="FF162447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777777"/>
      <sz val="8"/>
    </font>
    <font>
      <name val="Arial"/>
      <charset val="1"/>
      <family val="0"/>
      <color rgb="FF555555"/>
      <sz val="10"/>
    </font>
    <font>
      <name val="Arial"/>
      <charset val="1"/>
      <family val="0"/>
      <color rgb="FF7B5800"/>
      <sz val="9"/>
    </font>
    <font>
      <name val="Arial"/>
      <charset val="1"/>
      <family val="0"/>
      <color rgb="FF7B000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AAAAAA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AAAAAA"/>
      <sz val="9"/>
    </font>
    <font>
      <name val="Arial"/>
      <charset val="1"/>
      <family val="0"/>
      <color rgb="FF000000"/>
      <sz val="8"/>
    </font>
    <font>
      <name val="Arial"/>
      <charset val="1"/>
      <family val="0"/>
      <color rgb="FFB8860B"/>
      <sz val="9"/>
    </font>
    <font>
      <name val="Arial"/>
      <charset val="1"/>
      <family val="0"/>
      <sz val="9"/>
    </font>
    <font>
      <name val="Arial"/>
      <charset val="1"/>
      <family val="0"/>
      <color rgb="FFFFCCCC"/>
      <sz val="9"/>
    </font>
    <font>
      <name val="Arial"/>
      <charset val="1"/>
      <family val="0"/>
      <color rgb="FFCCFFCC"/>
      <sz val="9"/>
    </font>
    <font>
      <name val="Arial"/>
      <charset val="1"/>
      <family val="0"/>
      <color rgb="FF1A5C1A"/>
      <sz val="9"/>
    </font>
    <font>
      <name val="Arial"/>
      <charset val="1"/>
      <family val="0"/>
      <b val="1"/>
      <color rgb="FFFFFFFF"/>
      <sz val="11"/>
    </font>
    <font>
      <name val="Arial"/>
      <color rgb="00777777"/>
      <sz val="8"/>
    </font>
  </fonts>
  <fills count="12">
    <fill>
      <patternFill/>
    </fill>
    <fill>
      <patternFill patternType="gray125"/>
    </fill>
    <fill>
      <patternFill patternType="solid">
        <fgColor rgb="FF162447"/>
        <bgColor rgb="FF003300"/>
      </patternFill>
    </fill>
    <fill>
      <patternFill patternType="solid">
        <fgColor rgb="FFF2F2F2"/>
        <bgColor rgb="FFE8F5E9"/>
      </patternFill>
    </fill>
    <fill>
      <patternFill patternType="solid">
        <fgColor rgb="FFF5A623"/>
        <bgColor rgb="FFFFCC00"/>
      </patternFill>
    </fill>
    <fill>
      <patternFill patternType="solid">
        <fgColor rgb="FFD9D9D9"/>
        <bgColor rgb="FFCCCCCC"/>
      </patternFill>
    </fill>
    <fill>
      <patternFill patternType="solid">
        <fgColor rgb="FFFFF3CD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7B0000"/>
        <bgColor rgb="FF800000"/>
      </patternFill>
    </fill>
    <fill>
      <patternFill patternType="solid">
        <fgColor rgb="FF1A5C1A"/>
        <bgColor rgb="FF006400"/>
      </patternFill>
    </fill>
    <fill>
      <patternFill patternType="solid">
        <fgColor rgb="FFE8F5E9"/>
        <bgColor rgb="FFF2F2F2"/>
      </patternFill>
    </fill>
  </fills>
  <borders count="8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164" fontId="13" fillId="0" borderId="2" applyAlignment="1" pivotButton="0" quotePrefix="0" xfId="0">
      <alignment horizontal="right" vertical="center" wrapText="1"/>
    </xf>
    <xf numFmtId="0" fontId="13" fillId="0" borderId="2" applyAlignment="1" pivotButton="0" quotePrefix="0" xfId="0">
      <alignment horizontal="right" vertical="center" wrapText="1"/>
    </xf>
    <xf numFmtId="0" fontId="14" fillId="0" borderId="2" applyAlignment="1" pivotButton="0" quotePrefix="0" xfId="0">
      <alignment horizontal="left" vertical="center" wrapText="1"/>
    </xf>
    <xf numFmtId="165" fontId="13" fillId="0" borderId="2" applyAlignment="1" pivotButton="0" quotePrefix="0" xfId="0">
      <alignment horizontal="right" vertical="center" wrapText="1"/>
    </xf>
    <xf numFmtId="0" fontId="15" fillId="0" borderId="2" applyAlignment="1" pivotButton="0" quotePrefix="0" xfId="0">
      <alignment horizontal="right" vertical="center" wrapText="1"/>
    </xf>
    <xf numFmtId="0" fontId="16" fillId="6" borderId="3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left" vertical="center" wrapText="1"/>
    </xf>
    <xf numFmtId="166" fontId="20" fillId="3" borderId="2" applyAlignment="1" pivotButton="0" quotePrefix="0" xfId="0">
      <alignment horizontal="center" vertical="center" wrapText="1"/>
    </xf>
    <xf numFmtId="1" fontId="21" fillId="3" borderId="2" applyAlignment="1" pivotButton="0" quotePrefix="0" xfId="0">
      <alignment horizontal="center" vertical="center" wrapText="1"/>
    </xf>
    <xf numFmtId="1" fontId="22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left" vertical="center" wrapText="1"/>
    </xf>
    <xf numFmtId="164" fontId="20" fillId="8" borderId="2" applyAlignment="1" pivotButton="0" quotePrefix="0" xfId="0">
      <alignment horizontal="right" vertical="center" wrapText="1"/>
    </xf>
    <xf numFmtId="164" fontId="21" fillId="8" borderId="2" applyAlignment="1" pivotButton="0" quotePrefix="0" xfId="0">
      <alignment horizontal="right" vertical="center" wrapText="1"/>
    </xf>
    <xf numFmtId="164" fontId="22" fillId="8" borderId="2" applyAlignment="1" pivotButton="0" quotePrefix="0" xfId="0">
      <alignment horizontal="right" vertical="center" wrapText="1"/>
    </xf>
    <xf numFmtId="0" fontId="14" fillId="8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left" vertical="center" wrapText="1"/>
    </xf>
    <xf numFmtId="164" fontId="23" fillId="5" borderId="2" applyAlignment="1" pivotButton="0" quotePrefix="0" xfId="0">
      <alignment horizontal="right" vertical="center" wrapText="1"/>
    </xf>
    <xf numFmtId="164" fontId="19" fillId="5" borderId="2" applyAlignment="1" pivotButton="0" quotePrefix="0" xfId="0">
      <alignment horizontal="right" vertical="center" wrapText="1"/>
    </xf>
    <xf numFmtId="0" fontId="24" fillId="5" borderId="2" applyAlignment="1" pivotButton="0" quotePrefix="0" xfId="0">
      <alignment horizontal="left" vertical="center" wrapText="1"/>
    </xf>
    <xf numFmtId="164" fontId="25" fillId="6" borderId="2" applyAlignment="1" pivotButton="0" quotePrefix="0" xfId="0">
      <alignment horizontal="right" vertical="center" wrapText="1"/>
    </xf>
    <xf numFmtId="164" fontId="26" fillId="8" borderId="2" applyAlignment="1" pivotButton="0" quotePrefix="0" xfId="0">
      <alignment horizontal="right" vertical="bottom"/>
    </xf>
    <xf numFmtId="0" fontId="14" fillId="5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right" vertical="center" wrapText="1"/>
    </xf>
    <xf numFmtId="165" fontId="22" fillId="8" borderId="2" applyAlignment="1" pivotButton="0" quotePrefix="0" xfId="0">
      <alignment horizontal="right" vertical="center" wrapText="1"/>
    </xf>
    <xf numFmtId="0" fontId="16" fillId="6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  <xf numFmtId="166" fontId="20" fillId="3" borderId="2" applyAlignment="1" pivotButton="0" quotePrefix="0" xfId="0">
      <alignment horizontal="center" vertical="center" wrapText="1"/>
    </xf>
    <xf numFmtId="164" fontId="20" fillId="8" borderId="2" applyAlignment="1" pivotButton="0" quotePrefix="0" xfId="0">
      <alignment horizontal="right" vertical="center" wrapText="1"/>
    </xf>
    <xf numFmtId="164" fontId="21" fillId="8" borderId="2" applyAlignment="1" pivotButton="0" quotePrefix="0" xfId="0">
      <alignment horizontal="right" vertical="center" wrapText="1"/>
    </xf>
    <xf numFmtId="164" fontId="22" fillId="8" borderId="2" applyAlignment="1" pivotButton="0" quotePrefix="0" xfId="0">
      <alignment horizontal="right" vertical="center" wrapText="1"/>
    </xf>
    <xf numFmtId="164" fontId="23" fillId="5" borderId="2" applyAlignment="1" pivotButton="0" quotePrefix="0" xfId="0">
      <alignment horizontal="right" vertical="center" wrapText="1"/>
    </xf>
    <xf numFmtId="164" fontId="19" fillId="5" borderId="2" applyAlignment="1" pivotButton="0" quotePrefix="0" xfId="0">
      <alignment horizontal="right" vertical="center" wrapText="1"/>
    </xf>
    <xf numFmtId="164" fontId="25" fillId="6" borderId="2" applyAlignment="1" pivotButton="0" quotePrefix="0" xfId="0">
      <alignment horizontal="right" vertical="center" wrapText="1"/>
    </xf>
    <xf numFmtId="164" fontId="26" fillId="8" borderId="2" applyAlignment="1" pivotButton="0" quotePrefix="0" xfId="0">
      <alignment horizontal="right" vertical="bottom"/>
    </xf>
    <xf numFmtId="165" fontId="22" fillId="8" borderId="2" applyAlignment="1" pivotButton="0" quotePrefix="0" xfId="0">
      <alignment horizontal="right" vertical="center" wrapText="1"/>
    </xf>
    <xf numFmtId="0" fontId="18" fillId="1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left" vertical="center" wrapText="1"/>
    </xf>
    <xf numFmtId="0" fontId="30" fillId="2" borderId="1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bottom" wrapText="1"/>
    </xf>
    <xf numFmtId="0" fontId="21" fillId="8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right" vertical="center" wrapText="1"/>
    </xf>
    <xf numFmtId="0" fontId="22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1" fontId="13" fillId="0" borderId="2" applyAlignment="1" pivotButton="0" quotePrefix="0" xfId="0">
      <alignment horizontal="right" vertical="center" wrapText="1"/>
    </xf>
    <xf numFmtId="0" fontId="13" fillId="0" borderId="2" applyAlignment="1" pivotButton="0" quotePrefix="0" xfId="0">
      <alignment horizontal="right" vertical="center" wrapText="1"/>
    </xf>
    <xf numFmtId="1" fontId="13" fillId="0" borderId="7" applyAlignment="1" pivotButton="0" quotePrefix="0" xfId="0">
      <alignment horizontal="right" vertical="center"/>
    </xf>
    <xf numFmtId="0" fontId="31" fillId="0" borderId="7" applyAlignment="1" pivotButton="0" quotePrefix="0" xfId="0">
      <alignment horizontal="left" vertical="center" wrapText="1"/>
    </xf>
    <xf numFmtId="49" fontId="13" fillId="0" borderId="7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 wrapText="1"/>
    </xf>
    <xf numFmtId="0" fontId="14" fillId="0" borderId="2" applyAlignment="1" pivotButton="0" quotePrefix="0" xfId="0">
      <alignment horizontal="left" vertical="center" wrapText="1"/>
    </xf>
    <xf numFmtId="165" fontId="13" fillId="0" borderId="2" applyAlignment="1" pivotButton="0" quotePrefix="0" xfId="0">
      <alignment horizontal="right" vertical="center" wrapText="1"/>
    </xf>
    <xf numFmtId="0" fontId="15" fillId="0" borderId="2" applyAlignment="1" pivotButton="0" quotePrefix="0" xfId="0">
      <alignment horizontal="right" vertical="center" wrapText="1"/>
    </xf>
    <xf numFmtId="0" fontId="16" fillId="6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0" fontId="17" fillId="7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left" vertical="center" wrapText="1"/>
    </xf>
    <xf numFmtId="166" fontId="20" fillId="3" borderId="2" applyAlignment="1" pivotButton="0" quotePrefix="0" xfId="0">
      <alignment horizontal="center" vertical="center" wrapText="1"/>
    </xf>
    <xf numFmtId="1" fontId="21" fillId="3" borderId="2" applyAlignment="1" pivotButton="0" quotePrefix="0" xfId="0">
      <alignment horizontal="center" vertical="center" wrapText="1"/>
    </xf>
    <xf numFmtId="1" fontId="22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left" vertical="center" wrapText="1"/>
    </xf>
    <xf numFmtId="164" fontId="20" fillId="8" borderId="2" applyAlignment="1" pivotButton="0" quotePrefix="0" xfId="0">
      <alignment horizontal="right" vertical="center" wrapText="1"/>
    </xf>
    <xf numFmtId="164" fontId="21" fillId="8" borderId="2" applyAlignment="1" pivotButton="0" quotePrefix="0" xfId="0">
      <alignment horizontal="right" vertical="center" wrapText="1"/>
    </xf>
    <xf numFmtId="164" fontId="22" fillId="8" borderId="2" applyAlignment="1" pivotButton="0" quotePrefix="0" xfId="0">
      <alignment horizontal="right" vertical="center" wrapText="1"/>
    </xf>
    <xf numFmtId="0" fontId="14" fillId="8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left" vertical="center" wrapText="1"/>
    </xf>
    <xf numFmtId="164" fontId="23" fillId="5" borderId="2" applyAlignment="1" pivotButton="0" quotePrefix="0" xfId="0">
      <alignment horizontal="right" vertical="center" wrapText="1"/>
    </xf>
    <xf numFmtId="164" fontId="19" fillId="5" borderId="2" applyAlignment="1" pivotButton="0" quotePrefix="0" xfId="0">
      <alignment horizontal="right" vertical="center" wrapText="1"/>
    </xf>
    <xf numFmtId="0" fontId="24" fillId="5" borderId="2" applyAlignment="1" pivotButton="0" quotePrefix="0" xfId="0">
      <alignment horizontal="left" vertical="center" wrapText="1"/>
    </xf>
    <xf numFmtId="164" fontId="25" fillId="6" borderId="2" applyAlignment="1" pivotButton="0" quotePrefix="0" xfId="0">
      <alignment horizontal="right" vertical="center" wrapText="1"/>
    </xf>
    <xf numFmtId="164" fontId="26" fillId="8" borderId="2" applyAlignment="1" pivotButton="0" quotePrefix="0" xfId="0">
      <alignment horizontal="right" vertical="bottom"/>
    </xf>
    <xf numFmtId="0" fontId="14" fillId="5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right" vertical="center" wrapText="1"/>
    </xf>
    <xf numFmtId="165" fontId="22" fillId="8" borderId="2" applyAlignment="1" pivotButton="0" quotePrefix="0" xfId="0">
      <alignment horizontal="right" vertical="center" wrapText="1"/>
    </xf>
    <xf numFmtId="0" fontId="16" fillId="6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left" vertical="center" wrapText="1"/>
    </xf>
    <xf numFmtId="0" fontId="30" fillId="2" borderId="1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bottom" wrapText="1"/>
    </xf>
    <xf numFmtId="0" fontId="21" fillId="8" borderId="2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right" vertical="center" wrapText="1"/>
    </xf>
    <xf numFmtId="0" fontId="22" fillId="8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6400"/>
      <rgbColor rgb="FF000080"/>
      <rgbColor rgb="FF7B5800"/>
      <rgbColor rgb="FF800080"/>
      <rgbColor rgb="FF008080"/>
      <rgbColor rgb="FFCCCCCC"/>
      <rgbColor rgb="FF777777"/>
      <rgbColor rgb="FF9999FF"/>
      <rgbColor rgb="FF993366"/>
      <rgbColor rgb="FFFFF3CD"/>
      <rgbColor rgb="FFE8F5E9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CE4EC"/>
      <rgbColor rgb="FFD9D9D9"/>
      <rgbColor rgb="FFFF99CC"/>
      <rgbColor rgb="FFCC99FF"/>
      <rgbColor rgb="FFFFCCCC"/>
      <rgbColor rgb="FF3366FF"/>
      <rgbColor rgb="FF33CCCC"/>
      <rgbColor rgb="FF99CC00"/>
      <rgbColor rgb="FFFFCC00"/>
      <rgbColor rgb="FFF5A623"/>
      <rgbColor rgb="FFB8860B"/>
      <rgbColor rgb="FF555555"/>
      <rgbColor rgb="FFAAAAAA"/>
      <rgbColor rgb="FF162447"/>
      <rgbColor rgb="FF339966"/>
      <rgbColor rgb="FF003300"/>
      <rgbColor rgb="FF333300"/>
      <rgbColor rgb="FF993300"/>
      <rgbColor rgb="FF993366"/>
      <rgbColor rgb="FF333399"/>
      <rgbColor rgb="FF1A5C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62" min="1" max="1"/>
    <col width="18" customWidth="1" style="62" min="2" max="2"/>
    <col width="22" customWidth="1" style="62" min="3" max="3"/>
    <col width="28" customWidth="1" style="62" min="4" max="4"/>
    <col width="30" customWidth="1" style="63" min="5" max="5"/>
  </cols>
  <sheetData>
    <row r="1" ht="27.75" customHeight="1" s="63">
      <c r="A1" s="64" t="inlineStr">
        <is>
          <t>Alpha Kirkland — SY26/27 Budget Assumptions</t>
        </is>
      </c>
      <c r="B1" s="65" t="n"/>
      <c r="C1" s="65" t="n"/>
      <c r="D1" s="65" t="n"/>
    </row>
    <row r="2" ht="15" customHeight="1" s="63">
      <c r="A2" s="66" t="inlineStr">
        <is>
          <t>Source: Alpha_Kirkland_v3.xlsx (ACTUAL model) · Finance DRI: Kadmiel VonSpringer</t>
        </is>
      </c>
      <c r="B2" s="65" t="n"/>
      <c r="C2" s="65" t="n"/>
      <c r="D2" s="65" t="n"/>
    </row>
    <row r="3" ht="13.5" customHeight="1" s="63">
      <c r="A3" s="67" t="inlineStr">
        <is>
          <t>BLUE = Hardcoded input</t>
        </is>
      </c>
      <c r="B3" s="68" t="inlineStr">
        <is>
          <t>BLACK = Formula</t>
        </is>
      </c>
      <c r="C3" s="69" t="inlineStr">
        <is>
          <t>GREEN = Cross-sheet link</t>
        </is>
      </c>
      <c r="D3" s="70" t="inlineStr">
        <is>
          <t>YELLOW = Needs attention</t>
        </is>
      </c>
    </row>
    <row r="5" ht="15.75" customHeight="1" s="63">
      <c r="A5" s="71" t="inlineStr">
        <is>
          <t>A. ENROLLMENT RAMP</t>
        </is>
      </c>
      <c r="B5" s="65" t="n"/>
      <c r="C5" s="65" t="n"/>
      <c r="D5" s="65" t="n"/>
      <c r="E5" s="65" t="n"/>
    </row>
    <row r="6" ht="15" customHeight="1" s="63">
      <c r="A6" s="75" t="inlineStr">
        <is>
          <t>Parameter</t>
        </is>
      </c>
      <c r="B6" s="73" t="inlineStr">
        <is>
          <t>Base</t>
        </is>
      </c>
      <c r="C6" s="73" t="inlineStr">
        <is>
          <t>Stretch</t>
        </is>
      </c>
      <c r="D6" s="74" t="inlineStr">
        <is>
          <t>Constrained</t>
        </is>
      </c>
      <c r="E6" s="75" t="inlineStr">
        <is>
          <t>Notes</t>
        </is>
      </c>
    </row>
    <row r="7" ht="18.75" customHeight="1" s="63">
      <c r="A7" s="76" t="inlineStr">
        <is>
          <t>Y1 SY26/27 Launch Enrollment</t>
        </is>
      </c>
      <c r="B7" s="77" t="n">
        <v>25</v>
      </c>
      <c r="C7" s="79" t="n">
        <v>25</v>
      </c>
      <c r="D7" s="79" t="n">
        <v>25</v>
      </c>
      <c r="E7" s="80" t="inlineStr">
        <is>
          <t>All scenarios open with 25 students</t>
        </is>
      </c>
    </row>
    <row r="8" ht="15" customHeight="1" s="63">
      <c r="A8" s="76" t="inlineStr">
        <is>
          <t>Y2 SY27/28 Enrollment</t>
        </is>
      </c>
      <c r="B8" s="77" t="n">
        <v>101</v>
      </c>
      <c r="C8" s="79" t="n">
        <v>135</v>
      </c>
      <c r="D8" s="79" t="n">
        <v>81</v>
      </c>
      <c r="E8" s="80" t="inlineStr">
        <is>
          <t>BASE: 75% capacity (101) · STRETCH: full capacity (135) · CONSTRAINED: 80% of 101 (81)</t>
        </is>
      </c>
    </row>
    <row r="9" ht="15" customHeight="1" s="63">
      <c r="A9" s="76" t="inlineStr">
        <is>
          <t>Y3+ SY28/29 Enrollment (Max Capacity)</t>
        </is>
      </c>
      <c r="B9" s="77" t="n">
        <v>135</v>
      </c>
      <c r="C9" s="78" t="n">
        <v>135</v>
      </c>
      <c r="D9" s="79" t="n">
        <v>108</v>
      </c>
      <c r="E9" s="80" t="inlineStr">
        <is>
          <t>BASE/STRETCH: 135 (max) · CONSTRAINED: Y3=108 (80%×135); Y4+=135 returns to max</t>
        </is>
      </c>
    </row>
    <row r="10" ht="15" customHeight="1" s="63">
      <c r="A10" s="76" t="inlineStr">
        <is>
          <t>Maximum Capacity (seats)</t>
        </is>
      </c>
      <c r="B10" s="77" t="n">
        <v>135</v>
      </c>
      <c r="C10" s="78" t="n">
        <v>135</v>
      </c>
      <c r="D10" s="79" t="n">
        <v>135</v>
      </c>
      <c r="E10" s="80" t="inlineStr">
        <is>
          <t>Physical/lease constraint — same across all scenarios</t>
        </is>
      </c>
    </row>
    <row r="11" ht="15" customHeight="1" s="63">
      <c r="A11" s="76" t="inlineStr">
        <is>
          <t>School Year Start</t>
        </is>
      </c>
      <c r="B11" s="78" t="inlineStr">
        <is>
          <t>Jul 2026</t>
        </is>
      </c>
      <c r="C11" s="78" t="inlineStr">
        <is>
          <t>Jul 2026</t>
        </is>
      </c>
      <c r="D11" s="81" t="inlineStr">
        <is>
          <t>Jul 2026</t>
        </is>
      </c>
      <c r="E11" s="80" t="inlineStr">
        <is>
          <t>Q1 = Jul–Sep 2026</t>
        </is>
      </c>
    </row>
    <row r="12" ht="15.75" customHeight="1" s="63">
      <c r="A12" s="71" t="inlineStr">
        <is>
          <t>B. REVENUE DRIVERS</t>
        </is>
      </c>
      <c r="B12" s="65" t="n"/>
      <c r="C12" s="65" t="n"/>
      <c r="D12" s="65" t="n"/>
    </row>
    <row r="13" ht="15" customHeight="1" s="63">
      <c r="A13" s="75" t="inlineStr">
        <is>
          <t>Parameter</t>
        </is>
      </c>
      <c r="B13" s="73" t="inlineStr">
        <is>
          <t>Value</t>
        </is>
      </c>
      <c r="C13" s="75" t="inlineStr">
        <is>
          <t>Notes</t>
        </is>
      </c>
    </row>
    <row r="14" ht="15" customHeight="1" s="63">
      <c r="A14" s="76" t="inlineStr">
        <is>
          <t>Annual Core Tuition / Student</t>
        </is>
      </c>
      <c r="B14" s="82" t="n">
        <v>65000</v>
      </c>
      <c r="C14" s="83" t="inlineStr">
        <is>
          <t>≥$50k salary band applies</t>
        </is>
      </c>
    </row>
    <row r="15" ht="15" customHeight="1" s="63">
      <c r="A15" s="76" t="inlineStr">
        <is>
          <t>After-Hours Revenue / Student / Year</t>
        </is>
      </c>
      <c r="B15" s="82" t="n">
        <v>16250</v>
      </c>
      <c r="C15" s="83" t="inlineStr">
        <is>
          <t>100% participation assumed</t>
        </is>
      </c>
    </row>
    <row r="16" ht="15" customHeight="1" s="63">
      <c r="A16" s="76" t="inlineStr">
        <is>
          <t>Summer School Revenue / Student / Year</t>
        </is>
      </c>
      <c r="B16" s="82" t="n">
        <v>11000</v>
      </c>
      <c r="C16" s="83" t="inlineStr">
        <is>
          <t>100% participation assumed</t>
        </is>
      </c>
    </row>
    <row r="17" ht="18.75" customHeight="1" s="63">
      <c r="A17" s="76" t="inlineStr">
        <is>
          <t>Financial Aid</t>
        </is>
      </c>
      <c r="B17" s="82" t="n">
        <v>0</v>
      </c>
      <c r="C17" s="83" t="inlineStr">
        <is>
          <t>None modelled — confirm with GM</t>
        </is>
      </c>
    </row>
    <row r="18" ht="18.75" customHeight="1" s="63">
      <c r="A18" s="76" t="inlineStr">
        <is>
          <t>Sibling Discount</t>
        </is>
      </c>
      <c r="B18" s="82" t="n">
        <v>0</v>
      </c>
      <c r="C18" s="83" t="inlineStr">
        <is>
          <t>None modelled — confirm with GM</t>
        </is>
      </c>
    </row>
    <row r="20" ht="15.75" customHeight="1" s="63">
      <c r="A20" s="71" t="inlineStr">
        <is>
          <t>C. HEADCOUNT &amp; SALARIES (≥$50k tuition band)</t>
        </is>
      </c>
      <c r="B20" s="65" t="n"/>
      <c r="C20" s="65" t="n"/>
      <c r="D20" s="65" t="n"/>
    </row>
    <row r="21" ht="15" customHeight="1" s="63">
      <c r="A21" s="75" t="inlineStr">
        <is>
          <t>Role</t>
        </is>
      </c>
      <c r="B21" s="73" t="inlineStr">
        <is>
          <t>Base Salary</t>
        </is>
      </c>
      <c r="C21" s="75" t="inlineStr">
        <is>
          <t>Notes</t>
        </is>
      </c>
    </row>
    <row r="22" ht="15" customHeight="1" s="63">
      <c r="A22" s="76" t="inlineStr">
        <is>
          <t>Lead Guide</t>
        </is>
      </c>
      <c r="B22" s="82" t="n">
        <v>200000</v>
      </c>
      <c r="C22" s="83" t="inlineStr">
        <is>
          <t>1 in Y1 (≤25 stu)</t>
        </is>
      </c>
    </row>
    <row r="23" ht="15" customHeight="1" s="63">
      <c r="A23" s="76" t="inlineStr">
        <is>
          <t>Guide</t>
        </is>
      </c>
      <c r="B23" s="82" t="n">
        <v>120000</v>
      </c>
      <c r="C23" s="83" t="inlineStr">
        <is>
          <t>2 in Y1</t>
        </is>
      </c>
    </row>
    <row r="24" ht="15" customHeight="1" s="63">
      <c r="A24" s="76" t="inlineStr">
        <is>
          <t>Head of School</t>
        </is>
      </c>
      <c r="B24" s="82" t="n">
        <v>300000</v>
      </c>
      <c r="C24" s="83" t="inlineStr">
        <is>
          <t>Hired only when ≥100 students</t>
        </is>
      </c>
    </row>
    <row r="25" ht="15" customHeight="1" s="63">
      <c r="A25" s="76" t="inlineStr">
        <is>
          <t>Campus Administrator</t>
        </is>
      </c>
      <c r="B25" s="82" t="n">
        <v>75000</v>
      </c>
      <c r="C25" s="83" t="inlineStr">
        <is>
          <t>1 always</t>
        </is>
      </c>
    </row>
    <row r="26" ht="18.75" customHeight="1" s="63">
      <c r="A26" s="76" t="inlineStr">
        <is>
          <t>HC Loading Factor</t>
        </is>
      </c>
      <c r="B26" s="82" t="n">
        <v>1.15</v>
      </c>
      <c r="C26" s="83" t="inlineStr">
        <is>
          <t>1.15× base = benefits + payroll taxes</t>
        </is>
      </c>
    </row>
    <row r="27" ht="18.75" customHeight="1" s="63">
      <c r="A27" s="76" t="inlineStr">
        <is>
          <t>Timeback Platform Fee (% of Core Tuition)</t>
        </is>
      </c>
      <c r="B27" s="84" t="n">
        <v>0.2</v>
      </c>
      <c r="C27" s="83" t="inlineStr">
        <is>
          <t>20% of core tuition — expense, NOT netted from revenue</t>
        </is>
      </c>
    </row>
    <row r="29" ht="15.75" customHeight="1" s="63">
      <c r="A29" s="71" t="inlineStr">
        <is>
          <t>D. FACILITY COSTS (ACTUAL lease-based)</t>
        </is>
      </c>
      <c r="B29" s="65" t="n"/>
      <c r="C29" s="65" t="n"/>
      <c r="D29" s="65" t="n"/>
    </row>
    <row r="30" ht="15" customHeight="1" s="63">
      <c r="A30" s="75" t="inlineStr">
        <is>
          <t>Line Item</t>
        </is>
      </c>
      <c r="B30" s="73" t="inlineStr">
        <is>
          <t>Amount</t>
        </is>
      </c>
      <c r="C30" s="75" t="inlineStr">
        <is>
          <t>Notes</t>
        </is>
      </c>
    </row>
    <row r="31" ht="15" customHeight="1" s="63">
      <c r="A31" s="76" t="inlineStr">
        <is>
          <t>Square Footage (RSF)</t>
        </is>
      </c>
      <c r="B31" s="82" t="n">
        <v>13496</v>
      </c>
      <c r="C31" s="83" t="inlineStr">
        <is>
          <t>Source: Lease details</t>
        </is>
      </c>
    </row>
    <row r="32" ht="15" customHeight="1" s="63">
      <c r="A32" s="76" t="inlineStr">
        <is>
          <t>Base Rent Rate (Year 1, $/RSF)</t>
        </is>
      </c>
      <c r="B32" s="78" t="n">
        <v>46</v>
      </c>
      <c r="C32" s="83" t="inlineStr">
        <is>
          <t>3% annual escalation from Y2</t>
        </is>
      </c>
    </row>
    <row r="33" ht="15" customHeight="1" s="63">
      <c r="A33" s="76" t="inlineStr">
        <is>
          <t>Rent Abatement — Year 1</t>
        </is>
      </c>
      <c r="B33" s="85" t="inlineStr">
        <is>
          <t>50% (6 mths)</t>
        </is>
      </c>
      <c r="C33" s="83" t="inlineStr">
        <is>
          <t>Q1 &amp; Q2 rent = $0</t>
        </is>
      </c>
    </row>
    <row r="34" ht="15" customHeight="1" s="63">
      <c r="A34" s="76" t="inlineStr">
        <is>
          <t>OPEX (tax, admin, mgmt, municipal, $/yr)</t>
        </is>
      </c>
      <c r="B34" s="82" t="n">
        <v>185840</v>
      </c>
      <c r="C34" s="83" t="inlineStr">
        <is>
          <t>3% annual escalation cap</t>
        </is>
      </c>
    </row>
    <row r="35" ht="15" customHeight="1" s="63">
      <c r="A35" s="76" t="inlineStr">
        <is>
          <t>Parking ($/yr)</t>
        </is>
      </c>
      <c r="B35" s="82" t="n">
        <v>96000</v>
      </c>
      <c r="C35" s="83" t="inlineStr">
        <is>
          <t>Lease obligation</t>
        </is>
      </c>
    </row>
    <row r="36" ht="15" customHeight="1" s="63">
      <c r="A36" s="76" t="inlineStr">
        <is>
          <t>Utilities ($/yr)</t>
        </is>
      </c>
      <c r="B36" s="82" t="n">
        <v>50000</v>
      </c>
      <c r="C36" s="83" t="inlineStr">
        <is>
          <t>Estimate — new build</t>
        </is>
      </c>
    </row>
    <row r="37" ht="15" customHeight="1" s="63">
      <c r="A37" s="76" t="inlineStr">
        <is>
          <t>Cleaning + IT/Networking ($/yr)</t>
        </is>
      </c>
      <c r="B37" s="82" t="n">
        <v>240180</v>
      </c>
      <c r="C37" s="83" t="inlineStr">
        <is>
          <t>P2 site-specific estimate</t>
        </is>
      </c>
    </row>
    <row r="38" ht="15" customHeight="1" s="63">
      <c r="A38" s="76" t="inlineStr">
        <is>
          <t>Security Guards ($/yr)</t>
        </is>
      </c>
      <c r="B38" s="82" t="n">
        <v>98315</v>
      </c>
      <c r="C38" s="83" t="inlineStr">
        <is>
          <t>P2 Security</t>
        </is>
      </c>
    </row>
    <row r="39" ht="15" customHeight="1" s="63">
      <c r="A39" s="76" t="inlineStr">
        <is>
          <t>Repairs &amp; Maintenance ($/yr)</t>
        </is>
      </c>
      <c r="B39" s="82" t="n">
        <v>67480</v>
      </c>
      <c r="C39" s="83" t="inlineStr">
        <is>
          <t>R&amp;M + Grounds from P2</t>
        </is>
      </c>
    </row>
    <row r="40" ht="15" customHeight="1" s="63">
      <c r="A40" s="76" t="inlineStr">
        <is>
          <t>Total Facility Cost Year 1 (incl. abatement)</t>
        </is>
      </c>
      <c r="B40" s="82" t="n">
        <v>1001878</v>
      </c>
      <c r="C40" s="83" t="inlineStr">
        <is>
          <t>Formula-derived</t>
        </is>
      </c>
    </row>
    <row r="41" ht="18.75" customHeight="1" s="63">
      <c r="A41" s="76" t="inlineStr">
        <is>
          <t>Total Facility Cost Year 2</t>
        </is>
      </c>
      <c r="B41" s="82" t="n">
        <v>1638647</v>
      </c>
      <c r="C41" s="83" t="inlineStr">
        <is>
          <t>Formula-derived (no abatement + 3% escalation)</t>
        </is>
      </c>
    </row>
    <row r="43" ht="15.75" customHeight="1" s="63">
      <c r="A43" s="71" t="inlineStr">
        <is>
          <t>E. CAPEX &amp; DEPRECIATION</t>
        </is>
      </c>
      <c r="B43" s="65" t="n"/>
      <c r="C43" s="65" t="n"/>
      <c r="D43" s="65" t="n"/>
    </row>
    <row r="44" ht="15" customHeight="1" s="63">
      <c r="A44" s="75" t="inlineStr">
        <is>
          <t>Item</t>
        </is>
      </c>
      <c r="B44" s="73" t="inlineStr">
        <is>
          <t>Amount</t>
        </is>
      </c>
      <c r="C44" s="75" t="inlineStr">
        <is>
          <t>Notes</t>
        </is>
      </c>
    </row>
    <row r="45" ht="27.75" customHeight="1" s="63">
      <c r="A45" s="76" t="inlineStr">
        <is>
          <t>Total ACTUAL CapEx (Alpha cost)</t>
        </is>
      </c>
      <c r="B45" s="82" t="n">
        <v>1852581</v>
      </c>
      <c r="C45" s="83" t="inlineStr">
        <is>
          <t>STD $648K + TI allowance $944,720 + space planning $2,699</t>
        </is>
      </c>
    </row>
    <row r="46" ht="15" customHeight="1" s="63">
      <c r="A46" s="76" t="inlineStr">
        <is>
          <t>Depreciation Term (years)</t>
        </is>
      </c>
      <c r="B46" s="82" t="n">
        <v>6</v>
      </c>
      <c r="C46" s="83" t="inlineStr">
        <is>
          <t>Standard &gt;25 stu lease term</t>
        </is>
      </c>
    </row>
    <row r="47" ht="15" customHeight="1" s="63">
      <c r="A47" s="76" t="inlineStr">
        <is>
          <t>Annual D&amp;A (ACTUAL)</t>
        </is>
      </c>
      <c r="B47" s="82" t="n">
        <v>308763</v>
      </c>
      <c r="C47" s="83" t="inlineStr">
        <is>
          <t>Total CapEx ÷ 6 years</t>
        </is>
      </c>
    </row>
    <row r="48" ht="15" customHeight="1" s="63">
      <c r="A48" s="76" t="inlineStr">
        <is>
          <t>CapEx incurred in Year 1 (cash out)</t>
        </is>
      </c>
      <c r="B48" s="82" t="n">
        <v>1852581</v>
      </c>
      <c r="C48" s="83" t="inlineStr">
        <is>
          <t>Full spend in opening year</t>
        </is>
      </c>
    </row>
    <row r="50" ht="15.75" customHeight="1" s="63">
      <c r="A50" s="71" t="inlineStr">
        <is>
          <t>F. SCENARIOS (TIER 1 — THREE SCENARIOS REQUIRED)</t>
        </is>
      </c>
      <c r="B50" s="65" t="n"/>
      <c r="C50" s="65" t="n"/>
      <c r="D50" s="65" t="n"/>
    </row>
    <row r="51" ht="72" customHeight="1" s="63">
      <c r="A51" s="86" t="inlineStr">
        <is>
          <t>BASE: Team commits to 25 stu Y1 → 101 stu Y2 (75% cap) → 135 stu Y3+. This is the planning contract.
STRETCH: Fires when a named lever performs above plan. Trigger TBD (e.g. opens with 35 students, or Y2 hits full capacity early).
CONSTRAINED: 20% pullback case. Revenue and costs reduced 20%. Fixed facility costs held — shows operating leverage risk.</t>
        </is>
      </c>
      <c r="B51" s="87" t="n"/>
      <c r="C51" s="87" t="n"/>
      <c r="D51" s="87" t="n"/>
    </row>
    <row r="52" ht="15" customHeight="1" s="63">
      <c r="A52" s="88" t="n"/>
    </row>
    <row r="53" ht="15" customHeight="1" s="63">
      <c r="A53" s="88" t="n"/>
    </row>
    <row r="54" ht="15" customHeight="1" s="63">
      <c r="A54" s="89" t="inlineStr">
        <is>
          <t>NOTE: SY25/26 Actuals = $0 for all lines (Kirkland is a new school, no prior-year activity). Pre-opening CapEx shown in Year 1 cash flow.</t>
        </is>
      </c>
      <c r="B54" s="65" t="n"/>
      <c r="C54" s="65" t="n"/>
      <c r="D54" s="65" t="n"/>
    </row>
  </sheetData>
  <mergeCells count="10">
    <mergeCell ref="A1:D1"/>
    <mergeCell ref="A12:D12"/>
    <mergeCell ref="A50:D50"/>
    <mergeCell ref="A20:D20"/>
    <mergeCell ref="A51:D53"/>
    <mergeCell ref="A54:D54"/>
    <mergeCell ref="A29:D29"/>
    <mergeCell ref="A5:E5"/>
    <mergeCell ref="A43:D43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62" min="1" max="1"/>
    <col width="14" customWidth="1" style="62" min="2" max="2"/>
    <col width="13" customWidth="1" style="62" min="3" max="6"/>
    <col width="15" customWidth="1" style="62" min="7" max="12"/>
    <col width="26" customWidth="1" style="62" min="13" max="13"/>
  </cols>
  <sheetData>
    <row r="1" ht="24" customHeight="1" s="63">
      <c r="A1" s="90" t="inlineStr">
        <is>
          <t>Alpha Kirkland — BASE CASE | SY26/27 Quarterly + 5-Year Annual P&amp;L (ACTUAL Lease Model)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 ht="13.5" customHeight="1" s="63">
      <c r="A2" s="66" t="inlineStr">
        <is>
          <t>25 students Y1 → 135 Y2+ · Tuition: $65,000 · Finance DRI: Kadmiel VonSpringer  |  GREEN = cross-sheet  ·  BLUE = input  ·  BLACK = formula  ·  YELLOW bg = needs confirmation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</row>
    <row r="3" ht="36" customHeight="1" s="63">
      <c r="A3" s="91" t="n"/>
      <c r="B3" s="91" t="inlineStr">
        <is>
          <t>SY25/26
Actuals</t>
        </is>
      </c>
      <c r="C3" s="91" t="inlineStr">
        <is>
          <t>Q1
Jul–Sep '26</t>
        </is>
      </c>
      <c r="D3" s="91" t="inlineStr">
        <is>
          <t>Q2
Oct–Dec '26</t>
        </is>
      </c>
      <c r="E3" s="91" t="inlineStr">
        <is>
          <t>Q3
Jan–Mar '27</t>
        </is>
      </c>
      <c r="F3" s="91" t="inlineStr">
        <is>
          <t>Q4
Apr–Jun '27</t>
        </is>
      </c>
      <c r="G3" s="91" t="inlineStr">
        <is>
          <t>SY26/27
Full Year</t>
        </is>
      </c>
      <c r="H3" s="91" t="inlineStr">
        <is>
          <t>Y2
SY27/28</t>
        </is>
      </c>
      <c r="I3" s="91" t="inlineStr">
        <is>
          <t>Y3
SY28/29</t>
        </is>
      </c>
      <c r="J3" s="91" t="inlineStr">
        <is>
          <t>Y4
SY29/30</t>
        </is>
      </c>
      <c r="K3" s="91" t="inlineStr">
        <is>
          <t>Y5
SY30/31</t>
        </is>
      </c>
      <c r="L3" s="91" t="inlineStr">
        <is>
          <t>5-Year
Total</t>
        </is>
      </c>
      <c r="M3" s="91" t="inlineStr">
        <is>
          <t>Notes</t>
        </is>
      </c>
    </row>
    <row r="4" ht="18.75" customHeight="1" s="63">
      <c r="A4" s="92" t="inlineStr">
        <is>
          <t>Enrolled Students</t>
        </is>
      </c>
      <c r="B4" s="93" t="n">
        <v>0</v>
      </c>
      <c r="C4" s="94" t="n">
        <v>25</v>
      </c>
      <c r="D4" s="94" t="n">
        <v>25</v>
      </c>
      <c r="E4" s="94" t="n">
        <v>25</v>
      </c>
      <c r="F4" s="94" t="n">
        <v>25</v>
      </c>
      <c r="G4" s="95">
        <f>C4</f>
        <v/>
      </c>
      <c r="H4" s="94" t="n">
        <v>101</v>
      </c>
      <c r="I4" s="94" t="n">
        <v>135</v>
      </c>
      <c r="J4" s="94" t="n">
        <v>135</v>
      </c>
      <c r="K4" s="94" t="n">
        <v>135</v>
      </c>
      <c r="L4" s="96" t="inlineStr">
        <is>
          <t>-</t>
        </is>
      </c>
      <c r="M4" s="97" t="inlineStr">
        <is>
          <t>Y1:25 · Y2:101 (75% of 135 max) · Y3+:135 (max capacity)</t>
        </is>
      </c>
    </row>
    <row r="6" ht="15" customHeight="1" s="63">
      <c r="A6" s="71" t="inlineStr">
        <is>
          <t>REVENUE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</row>
    <row r="7" ht="27.75" customHeight="1" s="63">
      <c r="A7" s="98" t="inlineStr">
        <is>
          <t xml:space="preserve">    Core Tuition Revenue</t>
        </is>
      </c>
      <c r="B7" s="99" t="n">
        <v>0</v>
      </c>
      <c r="C7" s="100" t="n">
        <v>406250</v>
      </c>
      <c r="D7" s="100" t="n">
        <v>406250</v>
      </c>
      <c r="E7" s="100" t="n">
        <v>406250</v>
      </c>
      <c r="F7" s="100" t="n">
        <v>406250</v>
      </c>
      <c r="G7" s="101">
        <f>SUM(C7:F7)</f>
        <v/>
      </c>
      <c r="H7" s="100" t="n">
        <v>6565000</v>
      </c>
      <c r="I7" s="101">
        <f>135*65000</f>
        <v/>
      </c>
      <c r="J7" s="101">
        <f>I7*1.02</f>
        <v/>
      </c>
      <c r="K7" s="101">
        <f>J7*1.02</f>
        <v/>
      </c>
      <c r="L7" s="101">
        <f>SUM(G7:K7)</f>
        <v/>
      </c>
      <c r="M7" s="102" t="inlineStr">
        <is>
          <t>25 stu×$65K÷4  ·  Y2: 101 stu×$65K  ·  Y3+: 135 stu×$65K · +2%/yr from Y4</t>
        </is>
      </c>
    </row>
    <row r="8" ht="18.75" customHeight="1" s="63">
      <c r="A8" s="98" t="inlineStr">
        <is>
          <t xml:space="preserve">    After-Hours Revenue</t>
        </is>
      </c>
      <c r="B8" s="99" t="n">
        <v>0</v>
      </c>
      <c r="C8" s="100" t="n">
        <v>101563</v>
      </c>
      <c r="D8" s="100" t="n">
        <v>101563</v>
      </c>
      <c r="E8" s="100" t="n">
        <v>101563</v>
      </c>
      <c r="F8" s="100" t="n">
        <v>101561</v>
      </c>
      <c r="G8" s="101">
        <f>SUM(C8:F8)</f>
        <v/>
      </c>
      <c r="H8" s="100" t="n">
        <v>1641250</v>
      </c>
      <c r="I8" s="101">
        <f>135*16250</f>
        <v/>
      </c>
      <c r="J8" s="101">
        <f>I8*1.02</f>
        <v/>
      </c>
      <c r="K8" s="101">
        <f>J8*1.02</f>
        <v/>
      </c>
      <c r="L8" s="101">
        <f>SUM(G8:K8)</f>
        <v/>
      </c>
      <c r="M8" s="102" t="inlineStr">
        <is>
          <t>25 stu×$16,250÷4  ·  Y2: 101 stu×$16,250  ·  Y3+: 135 stu</t>
        </is>
      </c>
    </row>
    <row r="9" ht="18.75" customHeight="1" s="63">
      <c r="A9" s="98" t="inlineStr">
        <is>
          <t xml:space="preserve">    Summer School Revenue</t>
        </is>
      </c>
      <c r="B9" s="99" t="n">
        <v>0</v>
      </c>
      <c r="C9" s="100" t="n">
        <v>68750</v>
      </c>
      <c r="D9" s="100" t="n">
        <v>68750</v>
      </c>
      <c r="E9" s="100" t="n">
        <v>68750</v>
      </c>
      <c r="F9" s="100" t="n">
        <v>68750</v>
      </c>
      <c r="G9" s="101">
        <f>SUM(C9:F9)</f>
        <v/>
      </c>
      <c r="H9" s="100" t="n">
        <v>1111000</v>
      </c>
      <c r="I9" s="101">
        <f>135*11000</f>
        <v/>
      </c>
      <c r="J9" s="101">
        <f>I9*1.02</f>
        <v/>
      </c>
      <c r="K9" s="101">
        <f>J9*1.02</f>
        <v/>
      </c>
      <c r="L9" s="101">
        <f>SUM(G9:K9)</f>
        <v/>
      </c>
      <c r="M9" s="102" t="inlineStr">
        <is>
          <t>25 stu×$11,000÷4  ·  Y2: 101 stu×$11,000  ·  Y3+: 135 stu</t>
        </is>
      </c>
    </row>
    <row r="10" ht="15" customHeight="1" s="63">
      <c r="A10" s="98" t="inlineStr">
        <is>
          <t xml:space="preserve">    Financial Aid / Discounts</t>
        </is>
      </c>
      <c r="B10" s="99" t="n">
        <v>0</v>
      </c>
      <c r="C10" s="100" t="n">
        <v>0</v>
      </c>
      <c r="D10" s="100" t="n">
        <v>0</v>
      </c>
      <c r="E10" s="100" t="n">
        <v>0</v>
      </c>
      <c r="F10" s="100" t="n">
        <v>0</v>
      </c>
      <c r="G10" s="101">
        <f>SUM(C10:F10)</f>
        <v/>
      </c>
      <c r="H10" s="100" t="n">
        <v>0</v>
      </c>
      <c r="I10" s="101">
        <f>H10</f>
        <v/>
      </c>
      <c r="J10" s="101">
        <f>I10</f>
        <v/>
      </c>
      <c r="K10" s="101">
        <f>J10</f>
        <v/>
      </c>
      <c r="L10" s="101">
        <f>SUM(G10:K10)</f>
        <v/>
      </c>
      <c r="M10" s="102" t="inlineStr">
        <is>
          <t>None modelled — confirm with GM</t>
        </is>
      </c>
    </row>
    <row r="11" ht="15" customHeight="1" s="63">
      <c r="A11" s="103" t="inlineStr">
        <is>
          <t>TOTAL REVENUE</t>
        </is>
      </c>
      <c r="B11" s="104" t="n">
        <v>0</v>
      </c>
      <c r="C11" s="105">
        <f>SUM(C7:C9)-C10</f>
        <v/>
      </c>
      <c r="D11" s="105">
        <f>SUM(D7:D9)-D10</f>
        <v/>
      </c>
      <c r="E11" s="105">
        <f>SUM(E7:E9)-E10</f>
        <v/>
      </c>
      <c r="F11" s="105">
        <f>SUM(F7:F9)-F10</f>
        <v/>
      </c>
      <c r="G11" s="105">
        <f>SUM(G7:G9)-G10</f>
        <v/>
      </c>
      <c r="H11" s="105">
        <f>SUM(H7:H9)-H10</f>
        <v/>
      </c>
      <c r="I11" s="105">
        <f>SUM(I7:I9)-I10</f>
        <v/>
      </c>
      <c r="J11" s="105">
        <f>SUM(J7:J9)-J10</f>
        <v/>
      </c>
      <c r="K11" s="105">
        <f>SUM(K7:K9)-K10</f>
        <v/>
      </c>
      <c r="L11" s="105">
        <f>SUM(L7:L9)-L10</f>
        <v/>
      </c>
      <c r="M11" s="106" t="n"/>
    </row>
    <row r="13" ht="15" customHeight="1" s="63">
      <c r="A13" s="71" t="inlineStr">
        <is>
          <t>DIRECT COSTS — HEADCOUNT (×1.15 HC loading)</t>
        </is>
      </c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 ht="27.75" customHeight="1" s="63">
      <c r="A14" s="98" t="inlineStr">
        <is>
          <t xml:space="preserve">    Lead Guides</t>
        </is>
      </c>
      <c r="B14" s="99" t="n">
        <v>0</v>
      </c>
      <c r="C14" s="100" t="n">
        <v>57500</v>
      </c>
      <c r="D14" s="100" t="n">
        <v>57500</v>
      </c>
      <c r="E14" s="100" t="n">
        <v>57500</v>
      </c>
      <c r="F14" s="100" t="n">
        <v>57500</v>
      </c>
      <c r="G14" s="101">
        <f>SUM(C14:F14)</f>
        <v/>
      </c>
      <c r="H14" s="100" t="n">
        <v>920000</v>
      </c>
      <c r="I14" s="101">
        <f>H14*1.03</f>
        <v/>
      </c>
      <c r="J14" s="101">
        <f>I14*1.03</f>
        <v/>
      </c>
      <c r="K14" s="101">
        <f>J14*1.03</f>
        <v/>
      </c>
      <c r="L14" s="101">
        <f>SUM(G14:K14)</f>
        <v/>
      </c>
      <c r="M14" s="102" t="inlineStr">
        <is>
          <t>Y1: 1 FTE · Y2+: 4 FTE (staffed for near-capacity, 101 stu) · $200K×1.15; +3%/yr from Y3</t>
        </is>
      </c>
    </row>
    <row r="15" ht="18.75" customHeight="1" s="63">
      <c r="A15" s="98" t="inlineStr">
        <is>
          <t xml:space="preserve">    Guides</t>
        </is>
      </c>
      <c r="B15" s="99" t="n">
        <v>0</v>
      </c>
      <c r="C15" s="100" t="n">
        <v>69000</v>
      </c>
      <c r="D15" s="100" t="n">
        <v>69000</v>
      </c>
      <c r="E15" s="100" t="n">
        <v>69000</v>
      </c>
      <c r="F15" s="100" t="n">
        <v>69000</v>
      </c>
      <c r="G15" s="101">
        <f>SUM(C15:F15)</f>
        <v/>
      </c>
      <c r="H15" s="100" t="n">
        <v>1104000</v>
      </c>
      <c r="I15" s="101">
        <f>H15*1.03</f>
        <v/>
      </c>
      <c r="J15" s="101">
        <f>I15*1.03</f>
        <v/>
      </c>
      <c r="K15" s="101">
        <f>J15*1.03</f>
        <v/>
      </c>
      <c r="L15" s="101">
        <f>SUM(G15:K15)</f>
        <v/>
      </c>
      <c r="M15" s="102" t="inlineStr">
        <is>
          <t>Y1: 2 FTE · Y2+: 8 FTE · $120K×1.15; +3%/yr from Y3</t>
        </is>
      </c>
    </row>
    <row r="16" ht="27.75" customHeight="1" s="63">
      <c r="A16" s="98" t="inlineStr">
        <is>
          <t xml:space="preserve">    Head of School</t>
        </is>
      </c>
      <c r="B16" s="99" t="n">
        <v>0</v>
      </c>
      <c r="C16" s="100" t="n">
        <v>0</v>
      </c>
      <c r="D16" s="100" t="n">
        <v>0</v>
      </c>
      <c r="E16" s="100" t="n">
        <v>0</v>
      </c>
      <c r="F16" s="100" t="n">
        <v>0</v>
      </c>
      <c r="G16" s="101">
        <f>SUM(C16:F16)</f>
        <v/>
      </c>
      <c r="H16" s="100" t="n">
        <v>345000</v>
      </c>
      <c r="I16" s="101">
        <f>H16*1.03</f>
        <v/>
      </c>
      <c r="J16" s="101">
        <f>I16*1.03</f>
        <v/>
      </c>
      <c r="K16" s="101">
        <f>J16*1.03</f>
        <v/>
      </c>
      <c r="L16" s="101">
        <f>SUM(G16:K16)</f>
        <v/>
      </c>
      <c r="M16" s="102" t="inlineStr">
        <is>
          <t>Not in Y1 (&lt;100 stu) · Y2: hired (101 stu meets threshold) · $300K×1.15; +3%/yr from Y3</t>
        </is>
      </c>
    </row>
    <row r="17" ht="18.75" customHeight="1" s="63">
      <c r="A17" s="98" t="inlineStr">
        <is>
          <t xml:space="preserve">    Campus Administrator</t>
        </is>
      </c>
      <c r="B17" s="99" t="n">
        <v>0</v>
      </c>
      <c r="C17" s="100" t="n">
        <v>21563</v>
      </c>
      <c r="D17" s="100" t="n">
        <v>21563</v>
      </c>
      <c r="E17" s="100" t="n">
        <v>21563</v>
      </c>
      <c r="F17" s="100" t="n">
        <v>21561</v>
      </c>
      <c r="G17" s="101">
        <f>SUM(C17:F17)</f>
        <v/>
      </c>
      <c r="H17" s="100" t="n">
        <v>86250</v>
      </c>
      <c r="I17" s="101">
        <f>H17*1.03</f>
        <v/>
      </c>
      <c r="J17" s="101">
        <f>I17*1.03</f>
        <v/>
      </c>
      <c r="K17" s="101">
        <f>J17*1.03</f>
        <v/>
      </c>
      <c r="L17" s="101">
        <f>SUM(G17:K17)</f>
        <v/>
      </c>
      <c r="M17" s="102" t="inlineStr">
        <is>
          <t>1 FTE always · $75K×1.15; +3%/yr from Y3</t>
        </is>
      </c>
    </row>
    <row r="18" ht="15" customHeight="1" s="63">
      <c r="A18" s="103" t="inlineStr">
        <is>
          <t>TOTAL HEADCOUNT COSTS</t>
        </is>
      </c>
      <c r="B18" s="104" t="n">
        <v>0</v>
      </c>
      <c r="C18" s="105">
        <f>SUM(C14:C17)</f>
        <v/>
      </c>
      <c r="D18" s="105">
        <f>SUM(D14:D17)</f>
        <v/>
      </c>
      <c r="E18" s="105">
        <f>SUM(E14:E17)</f>
        <v/>
      </c>
      <c r="F18" s="105">
        <f>SUM(F14:F17)</f>
        <v/>
      </c>
      <c r="G18" s="105">
        <f>SUM(G14:G17)</f>
        <v/>
      </c>
      <c r="H18" s="105">
        <f>SUM(H14:H17)</f>
        <v/>
      </c>
      <c r="I18" s="105">
        <f>SUM(I14:I17)</f>
        <v/>
      </c>
      <c r="J18" s="105">
        <f>SUM(J14:J17)</f>
        <v/>
      </c>
      <c r="K18" s="105">
        <f>SUM(K14:K17)</f>
        <v/>
      </c>
      <c r="L18" s="105">
        <f>SUM(L14:L17)</f>
        <v/>
      </c>
      <c r="M18" s="106" t="n"/>
    </row>
    <row r="20" ht="15" customHeight="1" s="63">
      <c r="A20" s="71" t="inlineStr">
        <is>
          <t>DIRECT COSTS — FACILITIES (ACTUAL lease-based)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</row>
    <row r="21" ht="18.75" customHeight="1" s="63">
      <c r="A21" s="98" t="inlineStr">
        <is>
          <t xml:space="preserve">    Base Rent</t>
        </is>
      </c>
      <c r="B21" s="99" t="n">
        <v>0</v>
      </c>
      <c r="C21" s="100" t="n">
        <v>0</v>
      </c>
      <c r="D21" s="100" t="n">
        <v>0</v>
      </c>
      <c r="E21" s="100" t="n">
        <v>155204</v>
      </c>
      <c r="F21" s="100" t="n">
        <v>155204</v>
      </c>
      <c r="G21" s="101">
        <f>SUM(C21:F21)</f>
        <v/>
      </c>
      <c r="H21" s="100" t="n">
        <v>639440</v>
      </c>
      <c r="I21" s="101">
        <f>H21*1.03</f>
        <v/>
      </c>
      <c r="J21" s="101">
        <f>I21*1.03</f>
        <v/>
      </c>
      <c r="K21" s="101">
        <f>J21*1.03</f>
        <v/>
      </c>
      <c r="L21" s="101">
        <f>SUM(G21:K21)</f>
        <v/>
      </c>
      <c r="M21" s="102" t="inlineStr">
        <is>
          <t>Y1: 50% abated (Q1+Q2=$0) · Y2: full rent $620,816×1.03 · +3%/yr</t>
        </is>
      </c>
    </row>
    <row r="22" ht="18.75" customHeight="1" s="63">
      <c r="A22" s="98" t="inlineStr">
        <is>
          <t xml:space="preserve">    OPEX (tax/admin/mgmt/municipal)</t>
        </is>
      </c>
      <c r="B22" s="99" t="n">
        <v>0</v>
      </c>
      <c r="C22" s="100" t="n">
        <v>23230</v>
      </c>
      <c r="D22" s="100" t="n">
        <v>23230</v>
      </c>
      <c r="E22" s="100" t="n">
        <v>23230</v>
      </c>
      <c r="F22" s="100" t="n">
        <v>23230</v>
      </c>
      <c r="G22" s="101">
        <f>SUM(C22:F22)</f>
        <v/>
      </c>
      <c r="H22" s="100" t="n">
        <v>191415</v>
      </c>
      <c r="I22" s="101">
        <f>H22*1.03</f>
        <v/>
      </c>
      <c r="J22" s="101">
        <f>I22*1.03</f>
        <v/>
      </c>
      <c r="K22" s="101">
        <f>J22*1.03</f>
        <v/>
      </c>
      <c r="L22" s="101">
        <f>SUM(G22:K22)</f>
        <v/>
      </c>
      <c r="M22" s="102" t="inlineStr">
        <is>
          <t>Y1 partial · Y2: $185,840×1.03 · 3% cap per lease</t>
        </is>
      </c>
    </row>
    <row r="23" ht="15" customHeight="1" s="63">
      <c r="A23" s="98" t="inlineStr">
        <is>
          <t xml:space="preserve">    Parking</t>
        </is>
      </c>
      <c r="B23" s="99" t="n">
        <v>0</v>
      </c>
      <c r="C23" s="100" t="n">
        <v>24000</v>
      </c>
      <c r="D23" s="100" t="n">
        <v>24000</v>
      </c>
      <c r="E23" s="100" t="n">
        <v>24000</v>
      </c>
      <c r="F23" s="100" t="n">
        <v>24000</v>
      </c>
      <c r="G23" s="101">
        <f>SUM(C23:F23)</f>
        <v/>
      </c>
      <c r="H23" s="100" t="n">
        <v>98880</v>
      </c>
      <c r="I23" s="101">
        <f>H23*1.03</f>
        <v/>
      </c>
      <c r="J23" s="101">
        <f>I23*1.03</f>
        <v/>
      </c>
      <c r="K23" s="101">
        <f>J23*1.03</f>
        <v/>
      </c>
      <c r="L23" s="101">
        <f>SUM(G23:K23)</f>
        <v/>
      </c>
      <c r="M23" s="102" t="inlineStr">
        <is>
          <t>$96,000 base · +3%/yr from Y2</t>
        </is>
      </c>
    </row>
    <row r="24" ht="18.75" customHeight="1" s="63">
      <c r="A24" s="98" t="inlineStr">
        <is>
          <t xml:space="preserve">    Utilities</t>
        </is>
      </c>
      <c r="B24" s="99" t="n">
        <v>0</v>
      </c>
      <c r="C24" s="100" t="n">
        <v>2315</v>
      </c>
      <c r="D24" s="100" t="n">
        <v>2315</v>
      </c>
      <c r="E24" s="100" t="n">
        <v>2315</v>
      </c>
      <c r="F24" s="100" t="n">
        <v>2314</v>
      </c>
      <c r="G24" s="101">
        <f>SUM(C24:F24)</f>
        <v/>
      </c>
      <c r="H24" s="100" t="n">
        <v>51500</v>
      </c>
      <c r="I24" s="101">
        <f>H24*1.03</f>
        <v/>
      </c>
      <c r="J24" s="101">
        <f>I24*1.03</f>
        <v/>
      </c>
      <c r="K24" s="101">
        <f>J24*1.03</f>
        <v/>
      </c>
      <c r="L24" s="101">
        <f>SUM(G24:K24)</f>
        <v/>
      </c>
      <c r="M24" s="102" t="inlineStr">
        <is>
          <t>Y1 partial · Y2: $50,000×1.03 · confirm with facilities</t>
        </is>
      </c>
    </row>
    <row r="25" ht="15" customHeight="1" s="63">
      <c r="A25" s="98" t="inlineStr">
        <is>
          <t xml:space="preserve">    Cleaning + IT/Networking</t>
        </is>
      </c>
      <c r="B25" s="99" t="n">
        <v>0</v>
      </c>
      <c r="C25" s="100" t="n">
        <v>21553</v>
      </c>
      <c r="D25" s="100" t="n">
        <v>21553</v>
      </c>
      <c r="E25" s="100" t="n">
        <v>21553</v>
      </c>
      <c r="F25" s="100" t="n">
        <v>21554</v>
      </c>
      <c r="G25" s="101">
        <f>SUM(C25:F25)</f>
        <v/>
      </c>
      <c r="H25" s="100" t="n">
        <v>247385</v>
      </c>
      <c r="I25" s="101">
        <f>H25*1.03</f>
        <v/>
      </c>
      <c r="J25" s="101">
        <f>I25*1.03</f>
        <v/>
      </c>
      <c r="K25" s="101">
        <f>J25*1.03</f>
        <v/>
      </c>
      <c r="L25" s="101">
        <f>SUM(G25:K25)</f>
        <v/>
      </c>
      <c r="M25" s="102" t="inlineStr">
        <is>
          <t>$240,180 base · +3%/yr from Y2</t>
        </is>
      </c>
    </row>
    <row r="26" ht="15" customHeight="1" s="63">
      <c r="A26" s="98" t="inlineStr">
        <is>
          <t xml:space="preserve">    Security Guards</t>
        </is>
      </c>
      <c r="B26" s="99" t="n">
        <v>0</v>
      </c>
      <c r="C26" s="100" t="n">
        <v>24579</v>
      </c>
      <c r="D26" s="100" t="n">
        <v>24579</v>
      </c>
      <c r="E26" s="100" t="n">
        <v>24579</v>
      </c>
      <c r="F26" s="100" t="n">
        <v>24578</v>
      </c>
      <c r="G26" s="101">
        <f>SUM(C26:F26)</f>
        <v/>
      </c>
      <c r="H26" s="100" t="n">
        <v>101264</v>
      </c>
      <c r="I26" s="101">
        <f>H26*1.03</f>
        <v/>
      </c>
      <c r="J26" s="101">
        <f>I26*1.03</f>
        <v/>
      </c>
      <c r="K26" s="101">
        <f>J26*1.03</f>
        <v/>
      </c>
      <c r="L26" s="101">
        <f>SUM(G26:K26)</f>
        <v/>
      </c>
      <c r="M26" s="102" t="inlineStr">
        <is>
          <t>$98,315 base · +3%/yr from Y2</t>
        </is>
      </c>
    </row>
    <row r="27" ht="18.75" customHeight="1" s="63">
      <c r="A27" s="98" t="inlineStr">
        <is>
          <t xml:space="preserve">    Depreciation &amp; Amortization (D&amp;A)</t>
        </is>
      </c>
      <c r="B27" s="99" t="n">
        <v>0</v>
      </c>
      <c r="C27" s="100" t="n">
        <v>77191</v>
      </c>
      <c r="D27" s="100" t="n">
        <v>77191</v>
      </c>
      <c r="E27" s="100" t="n">
        <v>77191</v>
      </c>
      <c r="F27" s="100" t="n">
        <v>77190</v>
      </c>
      <c r="G27" s="101">
        <f>SUM(C27:F27)</f>
        <v/>
      </c>
      <c r="H27" s="100" t="n">
        <v>308763</v>
      </c>
      <c r="I27" s="101">
        <f>H27</f>
        <v/>
      </c>
      <c r="J27" s="101">
        <f>I27</f>
        <v/>
      </c>
      <c r="K27" s="101">
        <f>J27</f>
        <v/>
      </c>
      <c r="L27" s="101">
        <f>SUM(G27:K27)</f>
        <v/>
      </c>
      <c r="M27" s="102" t="inlineStr">
        <is>
          <t>$1,852,581÷6 yrs=$308,763/yr (non-cash, fixed schedule)</t>
        </is>
      </c>
    </row>
    <row r="28" ht="15" customHeight="1" s="63">
      <c r="A28" s="103" t="inlineStr">
        <is>
          <t>TOTAL FACILITY COSTS</t>
        </is>
      </c>
      <c r="B28" s="104" t="n">
        <v>0</v>
      </c>
      <c r="C28" s="105">
        <f>SUM(C21:C27)</f>
        <v/>
      </c>
      <c r="D28" s="105">
        <f>SUM(D21:D27)</f>
        <v/>
      </c>
      <c r="E28" s="105">
        <f>SUM(E21:E27)</f>
        <v/>
      </c>
      <c r="F28" s="105">
        <f>SUM(F21:F27)</f>
        <v/>
      </c>
      <c r="G28" s="105">
        <f>SUM(G21:G27)</f>
        <v/>
      </c>
      <c r="H28" s="105">
        <f>SUM(H21:H27)</f>
        <v/>
      </c>
      <c r="I28" s="105">
        <f>SUM(I21:I27)</f>
        <v/>
      </c>
      <c r="J28" s="105">
        <f>SUM(J21:J27)</f>
        <v/>
      </c>
      <c r="K28" s="105">
        <f>SUM(K21:K27)</f>
        <v/>
      </c>
      <c r="L28" s="105">
        <f>SUM(L21:L27)</f>
        <v/>
      </c>
      <c r="M28" s="106" t="n"/>
    </row>
    <row r="30" ht="15" customHeight="1" s="63">
      <c r="A30" s="71" t="inlineStr">
        <is>
          <t>DIRECT COSTS — PROGRAMS, TIMEBACK &amp; EXTENDED</t>
        </is>
      </c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</row>
    <row r="31" ht="18.75" customHeight="1" s="63">
      <c r="A31" s="98" t="inlineStr">
        <is>
          <t xml:space="preserve">    Core Programs</t>
        </is>
      </c>
      <c r="B31" s="99" t="n">
        <v>0</v>
      </c>
      <c r="C31" s="100" t="n">
        <v>75000</v>
      </c>
      <c r="D31" s="100" t="n">
        <v>75000</v>
      </c>
      <c r="E31" s="100" t="n">
        <v>75000</v>
      </c>
      <c r="F31" s="100" t="n">
        <v>75000</v>
      </c>
      <c r="G31" s="101">
        <f>SUM(C31:F31)</f>
        <v/>
      </c>
      <c r="H31" s="107" t="n">
        <v>1010000</v>
      </c>
      <c r="I31" s="101">
        <f>135*10000</f>
        <v/>
      </c>
      <c r="J31" s="101">
        <f>I31*1.03</f>
        <v/>
      </c>
      <c r="K31" s="101">
        <f>J31*1.03</f>
        <v/>
      </c>
      <c r="L31" s="101">
        <f>SUM(G31:K31)</f>
        <v/>
      </c>
      <c r="M31" s="102" t="inlineStr">
        <is>
          <t>⚠ ~$10K/stu — CONFIRM rate with GM · Y2: 101 stu · Y3+: 135 stu</t>
        </is>
      </c>
    </row>
    <row r="32" ht="18.75" customHeight="1" s="63">
      <c r="A32" s="98" t="inlineStr">
        <is>
          <t xml:space="preserve">    Miscellaneous</t>
        </is>
      </c>
      <c r="B32" s="99" t="n">
        <v>0</v>
      </c>
      <c r="C32" s="100" t="n">
        <v>21875</v>
      </c>
      <c r="D32" s="100" t="n">
        <v>21875</v>
      </c>
      <c r="E32" s="100" t="n">
        <v>21875</v>
      </c>
      <c r="F32" s="100" t="n">
        <v>21875</v>
      </c>
      <c r="G32" s="101">
        <f>SUM(C32:F32)</f>
        <v/>
      </c>
      <c r="H32" s="107" t="n">
        <v>303000</v>
      </c>
      <c r="I32" s="101">
        <f>135*3000</f>
        <v/>
      </c>
      <c r="J32" s="101">
        <f>I32*1.03</f>
        <v/>
      </c>
      <c r="K32" s="101">
        <f>J32*1.03</f>
        <v/>
      </c>
      <c r="L32" s="101">
        <f>SUM(G32:K32)</f>
        <v/>
      </c>
      <c r="M32" s="102" t="inlineStr">
        <is>
          <t>⚠ ~$3K/stu — CONFIRM with GM · Y2: 101 stu · Y3+: 135 stu</t>
        </is>
      </c>
    </row>
    <row r="33" ht="21.75" customHeight="1" s="63">
      <c r="A33" s="98" t="inlineStr">
        <is>
          <t xml:space="preserve">    Timeback Platform Fee (20% of Core Tuition)</t>
        </is>
      </c>
      <c r="B33" s="99" t="n">
        <v>0</v>
      </c>
      <c r="C33" s="100" t="n">
        <v>81250</v>
      </c>
      <c r="D33" s="100" t="n">
        <v>81250</v>
      </c>
      <c r="E33" s="100" t="n">
        <v>81250</v>
      </c>
      <c r="F33" s="100" t="n">
        <v>81250</v>
      </c>
      <c r="G33" s="101">
        <f>SUM(C33:F33)</f>
        <v/>
      </c>
      <c r="H33" s="108">
        <f>H7*0.2</f>
        <v/>
      </c>
      <c r="I33" s="108">
        <f>I7*0.2</f>
        <v/>
      </c>
      <c r="J33" s="108">
        <f>J7*0.2</f>
        <v/>
      </c>
      <c r="K33" s="108">
        <f>K7*0.2</f>
        <v/>
      </c>
      <c r="L33" s="108">
        <f>SUM(G33:K33)</f>
        <v/>
      </c>
      <c r="M33" s="102" t="inlineStr">
        <is>
          <t>20% × Core Tuition — formula-driven all years</t>
        </is>
      </c>
    </row>
    <row r="34" ht="27.75" customHeight="1" s="63">
      <c r="A34" s="98" t="inlineStr">
        <is>
          <t xml:space="preserve">    Extended Programs Cost</t>
        </is>
      </c>
      <c r="B34" s="99" t="n">
        <v>0</v>
      </c>
      <c r="C34" s="100" t="n">
        <v>136748</v>
      </c>
      <c r="D34" s="100" t="n">
        <v>136748</v>
      </c>
      <c r="E34" s="100" t="n">
        <v>136748</v>
      </c>
      <c r="F34" s="100" t="n">
        <v>136747</v>
      </c>
      <c r="G34" s="101">
        <f>SUM(C34:F34)</f>
        <v/>
      </c>
      <c r="H34" s="107" t="n">
        <v>1870000</v>
      </c>
      <c r="I34" s="101">
        <f>H34*1.03</f>
        <v/>
      </c>
      <c r="J34" s="101">
        <f>I34*1.03</f>
        <v/>
      </c>
      <c r="K34" s="101">
        <f>J34*1.03</f>
        <v/>
      </c>
      <c r="L34" s="101">
        <f>SUM(G34:K34)</f>
        <v/>
      </c>
      <c r="M34" s="102" t="inlineStr">
        <is>
          <t>⚠ proportional to ext rev share — CONFIRM · Y2: 101 stu est · Y3+: 135 stu est · Y3 = Y2×1.03 (3%/yr escalation applied)</t>
        </is>
      </c>
    </row>
    <row r="35" ht="15" customHeight="1" s="63">
      <c r="A35" s="103" t="inlineStr">
        <is>
          <t>TOTAL PROGRAMS &amp; OTHER</t>
        </is>
      </c>
      <c r="B35" s="104" t="n">
        <v>0</v>
      </c>
      <c r="C35" s="105">
        <f>SUM(C31:C34)</f>
        <v/>
      </c>
      <c r="D35" s="105">
        <f>SUM(D31:D34)</f>
        <v/>
      </c>
      <c r="E35" s="105">
        <f>SUM(E31:E34)</f>
        <v/>
      </c>
      <c r="F35" s="105">
        <f>SUM(F31:F34)</f>
        <v/>
      </c>
      <c r="G35" s="105">
        <f>SUM(G31:G34)</f>
        <v/>
      </c>
      <c r="H35" s="105">
        <f>SUM(H31:H34)</f>
        <v/>
      </c>
      <c r="I35" s="105">
        <f>SUM(I31:I34)</f>
        <v/>
      </c>
      <c r="J35" s="105">
        <f>SUM(J31:J34)</f>
        <v/>
      </c>
      <c r="K35" s="105">
        <f>SUM(K31:K34)</f>
        <v/>
      </c>
      <c r="L35" s="105">
        <f>SUM(L31:L34)</f>
        <v/>
      </c>
      <c r="M35" s="106" t="n"/>
    </row>
    <row r="37" ht="15" customHeight="1" s="63">
      <c r="A37" s="103" t="inlineStr">
        <is>
          <t>TOTAL DIRECT COSTS</t>
        </is>
      </c>
      <c r="B37" s="104" t="n">
        <v>0</v>
      </c>
      <c r="C37" s="105">
        <f>C18+C28+C35</f>
        <v/>
      </c>
      <c r="D37" s="105">
        <f>D18+D28+D35</f>
        <v/>
      </c>
      <c r="E37" s="105">
        <f>E18+E28+E35</f>
        <v/>
      </c>
      <c r="F37" s="105">
        <f>F18+F28+F35</f>
        <v/>
      </c>
      <c r="G37" s="105">
        <f>G18+G28+G35</f>
        <v/>
      </c>
      <c r="H37" s="105">
        <f>H18+H28+H35</f>
        <v/>
      </c>
      <c r="I37" s="105">
        <f>I18+I28+I35</f>
        <v/>
      </c>
      <c r="J37" s="105">
        <f>J18+J28+J35</f>
        <v/>
      </c>
      <c r="K37" s="105">
        <f>K18+K28+K35</f>
        <v/>
      </c>
      <c r="L37" s="105">
        <f>L18+L28+L35</f>
        <v/>
      </c>
      <c r="M37" s="106" t="n"/>
    </row>
    <row r="39" ht="15" customHeight="1" s="63">
      <c r="A39" s="71" t="inlineStr">
        <is>
          <t>OPERATING PROFIT</t>
        </is>
      </c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</row>
    <row r="40" ht="15" customHeight="1" s="63">
      <c r="A40" s="103" t="inlineStr">
        <is>
          <t>EBIT (Operating Profit / Loss)</t>
        </is>
      </c>
      <c r="B40" s="104" t="n">
        <v>0</v>
      </c>
      <c r="C40" s="105">
        <f>C11-C37</f>
        <v/>
      </c>
      <c r="D40" s="105">
        <f>D11-D37</f>
        <v/>
      </c>
      <c r="E40" s="105">
        <f>E11-E37</f>
        <v/>
      </c>
      <c r="F40" s="105">
        <f>F11-F37</f>
        <v/>
      </c>
      <c r="G40" s="105">
        <f>G11-G37</f>
        <v/>
      </c>
      <c r="H40" s="105">
        <f>H11-H37</f>
        <v/>
      </c>
      <c r="I40" s="105">
        <f>I11-I37</f>
        <v/>
      </c>
      <c r="J40" s="105">
        <f>J11-J37</f>
        <v/>
      </c>
      <c r="K40" s="105">
        <f>K11-K37</f>
        <v/>
      </c>
      <c r="L40" s="105">
        <f>L11-L37</f>
        <v/>
      </c>
      <c r="M40" s="109" t="inlineStr">
        <is>
          <t>Revenue − Total Direct Costs</t>
        </is>
      </c>
    </row>
    <row r="41" ht="15" customHeight="1" s="63">
      <c r="A41" s="98" t="inlineStr">
        <is>
          <t xml:space="preserve">    Add back: D&amp;A (non-cash)</t>
        </is>
      </c>
      <c r="B41" s="99" t="n">
        <v>0</v>
      </c>
      <c r="C41" s="100" t="n">
        <v>77191</v>
      </c>
      <c r="D41" s="100" t="n">
        <v>77191</v>
      </c>
      <c r="E41" s="100" t="n">
        <v>77191</v>
      </c>
      <c r="F41" s="100" t="n">
        <v>77190</v>
      </c>
      <c r="G41" s="101">
        <f>SUM(C41:F41)</f>
        <v/>
      </c>
      <c r="H41" s="100" t="n">
        <v>308763</v>
      </c>
      <c r="I41" s="101">
        <f>H27</f>
        <v/>
      </c>
      <c r="J41" s="101">
        <f>I27</f>
        <v/>
      </c>
      <c r="K41" s="101">
        <f>J27</f>
        <v/>
      </c>
      <c r="L41" s="101">
        <f>SUM(G41:K41)</f>
        <v/>
      </c>
      <c r="M41" s="102" t="inlineStr">
        <is>
          <t>Non-cash — add back to get EBITDA</t>
        </is>
      </c>
    </row>
    <row r="42" ht="15" customHeight="1" s="63">
      <c r="A42" s="103" t="inlineStr">
        <is>
          <t>EBITDA</t>
        </is>
      </c>
      <c r="B42" s="104" t="n">
        <v>0</v>
      </c>
      <c r="C42" s="105">
        <f>C40+C41</f>
        <v/>
      </c>
      <c r="D42" s="105">
        <f>D40+D41</f>
        <v/>
      </c>
      <c r="E42" s="105">
        <f>E40+E41</f>
        <v/>
      </c>
      <c r="F42" s="105">
        <f>F40+F41</f>
        <v/>
      </c>
      <c r="G42" s="105">
        <f>G40+G41</f>
        <v/>
      </c>
      <c r="H42" s="105">
        <f>H40+H41</f>
        <v/>
      </c>
      <c r="I42" s="105">
        <f>I40+I41</f>
        <v/>
      </c>
      <c r="J42" s="105">
        <f>J40+J41</f>
        <v/>
      </c>
      <c r="K42" s="105">
        <f>K40+K41</f>
        <v/>
      </c>
      <c r="L42" s="105">
        <f>L40+L41</f>
        <v/>
      </c>
      <c r="M42" s="109" t="n"/>
    </row>
    <row r="44" ht="15" customHeight="1" s="63">
      <c r="A44" s="71" t="inlineStr">
        <is>
          <t>CASH FLOW</t>
        </is>
      </c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</row>
    <row r="45" ht="18.75" customHeight="1" s="63">
      <c r="A45" s="98" t="inlineStr">
        <is>
          <t xml:space="preserve">    Less: CapEx (opening investment)</t>
        </is>
      </c>
      <c r="B45" s="99" t="n">
        <v>0</v>
      </c>
      <c r="C45" s="100" t="n">
        <v>-1852581</v>
      </c>
      <c r="D45" s="100" t="n">
        <v>0</v>
      </c>
      <c r="E45" s="100" t="n">
        <v>0</v>
      </c>
      <c r="F45" s="100" t="n">
        <v>0</v>
      </c>
      <c r="G45" s="101">
        <f>SUM(C45:F45)</f>
        <v/>
      </c>
      <c r="H45" s="100" t="n">
        <v>0</v>
      </c>
      <c r="I45" s="101">
        <f>H45</f>
        <v/>
      </c>
      <c r="J45" s="101">
        <f>I45</f>
        <v/>
      </c>
      <c r="K45" s="101">
        <f>J45</f>
        <v/>
      </c>
      <c r="L45" s="101">
        <f>SUM(G45:K45)</f>
        <v/>
      </c>
      <c r="M45" s="102" t="inlineStr">
        <is>
          <t>Full $1,852,581 in Q1 opening; no additional capex Y2-Y5</t>
        </is>
      </c>
    </row>
    <row r="46" ht="15" customHeight="1" s="63">
      <c r="A46" s="103" t="inlineStr">
        <is>
          <t>NET CASH FLOW</t>
        </is>
      </c>
      <c r="B46" s="104" t="n">
        <v>0</v>
      </c>
      <c r="C46" s="105">
        <f>C42+C45</f>
        <v/>
      </c>
      <c r="D46" s="105">
        <f>D42+D45</f>
        <v/>
      </c>
      <c r="E46" s="105">
        <f>E42+E45</f>
        <v/>
      </c>
      <c r="F46" s="105">
        <f>F42+F45</f>
        <v/>
      </c>
      <c r="G46" s="105">
        <f>G42+G45</f>
        <v/>
      </c>
      <c r="H46" s="105">
        <f>H42+H45</f>
        <v/>
      </c>
      <c r="I46" s="105">
        <f>I42+I45</f>
        <v/>
      </c>
      <c r="J46" s="105">
        <f>J42+J45</f>
        <v/>
      </c>
      <c r="K46" s="105">
        <f>K42+K45</f>
        <v/>
      </c>
      <c r="L46" s="105">
        <f>L42+L45</f>
        <v/>
      </c>
      <c r="M46" s="109" t="n"/>
    </row>
    <row r="47" ht="18.75" customHeight="1" s="63">
      <c r="A47" s="98" t="inlineStr">
        <is>
          <t>Cumulative Net Cash Flow</t>
        </is>
      </c>
      <c r="B47" s="99" t="n">
        <v>0</v>
      </c>
      <c r="C47" s="101">
        <f>C46</f>
        <v/>
      </c>
      <c r="D47" s="101">
        <f>C47+D46</f>
        <v/>
      </c>
      <c r="E47" s="101">
        <f>D47+E46</f>
        <v/>
      </c>
      <c r="F47" s="101">
        <f>E47+F46</f>
        <v/>
      </c>
      <c r="G47" s="101">
        <f>G46</f>
        <v/>
      </c>
      <c r="H47" s="101">
        <f>G47+H46</f>
        <v/>
      </c>
      <c r="I47" s="101">
        <f>H47+I46</f>
        <v/>
      </c>
      <c r="J47" s="101">
        <f>I47+J46</f>
        <v/>
      </c>
      <c r="K47" s="101">
        <f>J47+K46</f>
        <v/>
      </c>
      <c r="L47" s="110" t="n"/>
      <c r="M47" s="102" t="inlineStr">
        <is>
          <t>Running total — shows payback trajectory</t>
        </is>
      </c>
    </row>
    <row r="49" ht="15" customHeight="1" s="63">
      <c r="A49" s="71" t="inlineStr">
        <is>
          <t>KEY METRICS</t>
        </is>
      </c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</row>
    <row r="50" ht="15" customHeight="1" s="63">
      <c r="A50" s="98" t="inlineStr">
        <is>
          <t>EBIT Margin %</t>
        </is>
      </c>
      <c r="B50" s="99" t="n">
        <v>0</v>
      </c>
      <c r="C50" s="111">
        <f>IFERROR(C40/C11,0)</f>
        <v/>
      </c>
      <c r="D50" s="111">
        <f>IFERROR(D40/D11,0)</f>
        <v/>
      </c>
      <c r="E50" s="111">
        <f>IFERROR(E40/E11,0)</f>
        <v/>
      </c>
      <c r="F50" s="111">
        <f>IFERROR(F40/F11,0)</f>
        <v/>
      </c>
      <c r="G50" s="111">
        <f>IFERROR(G40/G11,0)</f>
        <v/>
      </c>
      <c r="H50" s="111">
        <f>IFERROR(H40/H11,0)</f>
        <v/>
      </c>
      <c r="I50" s="111">
        <f>IFERROR(I40/I11,0)</f>
        <v/>
      </c>
      <c r="J50" s="111">
        <f>IFERROR(J40/J11,0)</f>
        <v/>
      </c>
      <c r="K50" s="111">
        <f>IFERROR(K40/K11,0)</f>
        <v/>
      </c>
      <c r="L50" s="111">
        <f>IFERROR(L40/L11,0)</f>
        <v/>
      </c>
      <c r="M50" s="102" t="inlineStr">
        <is>
          <t>EBIT ÷ Revenue</t>
        </is>
      </c>
    </row>
    <row r="51" ht="15" customHeight="1" s="63">
      <c r="A51" s="98" t="inlineStr">
        <is>
          <t>EBITDA Margin %</t>
        </is>
      </c>
      <c r="B51" s="99" t="n">
        <v>0</v>
      </c>
      <c r="C51" s="111">
        <f>IFERROR(C42/C11,0)</f>
        <v/>
      </c>
      <c r="D51" s="111">
        <f>IFERROR(D42/D11,0)</f>
        <v/>
      </c>
      <c r="E51" s="111">
        <f>IFERROR(E42/E11,0)</f>
        <v/>
      </c>
      <c r="F51" s="111">
        <f>IFERROR(F42/F11,0)</f>
        <v/>
      </c>
      <c r="G51" s="111">
        <f>IFERROR(G42/G11,0)</f>
        <v/>
      </c>
      <c r="H51" s="111">
        <f>IFERROR(H42/H11,0)</f>
        <v/>
      </c>
      <c r="I51" s="111">
        <f>IFERROR(I42/I11,0)</f>
        <v/>
      </c>
      <c r="J51" s="111">
        <f>IFERROR(J42/J11,0)</f>
        <v/>
      </c>
      <c r="K51" s="111">
        <f>IFERROR(K42/K11,0)</f>
        <v/>
      </c>
      <c r="L51" s="111">
        <f>IFERROR(L42/L11,0)</f>
        <v/>
      </c>
      <c r="M51" s="102" t="inlineStr">
        <is>
          <t>EBITDA ÷ Revenue</t>
        </is>
      </c>
    </row>
    <row r="52" ht="15" customHeight="1" s="63">
      <c r="A52" s="98" t="inlineStr">
        <is>
          <t>Revenue per Student</t>
        </is>
      </c>
      <c r="B52" s="99" t="n">
        <v>0</v>
      </c>
      <c r="C52" s="101">
        <f>IFERROR(C11/25,0)</f>
        <v/>
      </c>
      <c r="D52" s="101">
        <f>IFERROR(D11/25,0)</f>
        <v/>
      </c>
      <c r="E52" s="101">
        <f>IFERROR(E11/25,0)</f>
        <v/>
      </c>
      <c r="F52" s="101">
        <f>IFERROR(F11/25,0)</f>
        <v/>
      </c>
      <c r="G52" s="101">
        <f>IFERROR(G11/25,0)</f>
        <v/>
      </c>
      <c r="H52" s="101">
        <f>IFERROR(H11/H4,0)</f>
        <v/>
      </c>
      <c r="I52" s="101">
        <f>IFERROR(I11/135,0)</f>
        <v/>
      </c>
      <c r="J52" s="101">
        <f>IFERROR(J11/135,0)</f>
        <v/>
      </c>
      <c r="K52" s="101">
        <f>IFERROR(K11/135,0)</f>
        <v/>
      </c>
      <c r="L52" s="110" t="n"/>
      <c r="M52" s="102" t="inlineStr">
        <is>
          <t>Revenue ÷ enrolled students</t>
        </is>
      </c>
    </row>
    <row r="54" ht="21.75" customHeight="1" s="63">
      <c r="A54" s="112" t="inlineStr">
        <is>
          <t>⚠  OPEN ITEMS: Y2+ Core Programs per-student rate · Misc per-student rate · Extended Programs cost at 135 stu · Financial aid / sibling discount · Utilities full-year rate</t>
        </is>
      </c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</row>
  </sheetData>
  <mergeCells count="10">
    <mergeCell ref="A13:M13"/>
    <mergeCell ref="A44:M44"/>
    <mergeCell ref="A1:M1"/>
    <mergeCell ref="A6:M6"/>
    <mergeCell ref="A30:M30"/>
    <mergeCell ref="A39:M39"/>
    <mergeCell ref="A2:M2"/>
    <mergeCell ref="A20:M20"/>
    <mergeCell ref="A54:M54"/>
    <mergeCell ref="A49:M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62" min="1" max="1"/>
    <col width="14" customWidth="1" style="62" min="2" max="2"/>
    <col width="13" customWidth="1" style="62" min="3" max="6"/>
    <col width="15" customWidth="1" style="62" min="7" max="12"/>
    <col width="26" customWidth="1" style="62" min="13" max="13"/>
  </cols>
  <sheetData>
    <row r="1" ht="24" customHeight="1" s="63">
      <c r="A1" s="113" t="inlineStr">
        <is>
          <t>Alpha Kirkland — CONSTRAINED CASE | SY26/27 Quarterly + 5-Year Annual P&amp;L (ACTUAL Lease Model)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 ht="13.5" customHeight="1" s="63">
      <c r="A2" s="114" t="inlineStr">
        <is>
          <t>Y1=25 stu · Y2=81 stu (80% of 101) · Y3=108 stu (80% of 135) · Y4+=135 (max)  |  20% enrollment pullback Y2-Y3 · Fixed facility costs HELD · Finance DRI: Kadmiel VonSpringer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</row>
    <row r="3" ht="36" customHeight="1" s="63">
      <c r="A3" s="91" t="n"/>
      <c r="B3" s="91" t="inlineStr">
        <is>
          <t>SY25/26
Actuals</t>
        </is>
      </c>
      <c r="C3" s="91" t="inlineStr">
        <is>
          <t>Q1
Jul–Sep '26</t>
        </is>
      </c>
      <c r="D3" s="91" t="inlineStr">
        <is>
          <t>Q2
Oct–Dec '26</t>
        </is>
      </c>
      <c r="E3" s="91" t="inlineStr">
        <is>
          <t>Q3
Jan–Mar '27</t>
        </is>
      </c>
      <c r="F3" s="91" t="inlineStr">
        <is>
          <t>Q4
Apr–Jun '27</t>
        </is>
      </c>
      <c r="G3" s="91" t="inlineStr">
        <is>
          <t>SY26/27
Full Year</t>
        </is>
      </c>
      <c r="H3" s="91" t="inlineStr">
        <is>
          <t>Y2
SY27/28</t>
        </is>
      </c>
      <c r="I3" s="91" t="inlineStr">
        <is>
          <t>Y3
SY28/29</t>
        </is>
      </c>
      <c r="J3" s="91" t="inlineStr">
        <is>
          <t>Y4
SY29/30</t>
        </is>
      </c>
      <c r="K3" s="91" t="inlineStr">
        <is>
          <t>Y5
SY30/31</t>
        </is>
      </c>
      <c r="L3" s="91" t="inlineStr">
        <is>
          <t>5-Year
Total</t>
        </is>
      </c>
      <c r="M3" s="91" t="inlineStr">
        <is>
          <t>Notes</t>
        </is>
      </c>
    </row>
    <row r="4" ht="19.4" customHeight="1" s="63">
      <c r="A4" s="92" t="inlineStr">
        <is>
          <t>Enrolled Students</t>
        </is>
      </c>
      <c r="B4" s="93" t="n">
        <v>0</v>
      </c>
      <c r="C4" s="94" t="n">
        <v>25</v>
      </c>
      <c r="D4" s="94" t="n">
        <v>25</v>
      </c>
      <c r="E4" s="94" t="n">
        <v>25</v>
      </c>
      <c r="F4" s="94" t="n">
        <v>25</v>
      </c>
      <c r="G4" s="95">
        <f>C4</f>
        <v/>
      </c>
      <c r="H4" s="94" t="n">
        <v>81</v>
      </c>
      <c r="I4" s="94" t="n">
        <v>108</v>
      </c>
      <c r="J4" s="94" t="n">
        <v>135</v>
      </c>
      <c r="K4" s="94" t="n">
        <v>135</v>
      </c>
      <c r="L4" s="96" t="inlineStr">
        <is>
          <t>-</t>
        </is>
      </c>
      <c r="M4" s="97" t="inlineStr">
        <is>
          <t>Y1:25 · Y2:81 (80%×101) · Y3:108 (80%×135) · Y4+:135 (max capacity)</t>
        </is>
      </c>
    </row>
    <row r="6" ht="15" customHeight="1" s="63">
      <c r="A6" s="71" t="inlineStr">
        <is>
          <t>REVENUE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</row>
    <row r="7" ht="28.35" customHeight="1" s="63">
      <c r="A7" s="98" t="inlineStr">
        <is>
          <t xml:space="preserve">    Core Tuition Revenue</t>
        </is>
      </c>
      <c r="B7" s="99" t="n">
        <v>0</v>
      </c>
      <c r="C7" s="100" t="n">
        <v>406250</v>
      </c>
      <c r="D7" s="100" t="n">
        <v>406250</v>
      </c>
      <c r="E7" s="100" t="n">
        <v>406250</v>
      </c>
      <c r="F7" s="100" t="n">
        <v>406250</v>
      </c>
      <c r="G7" s="101">
        <f>SUM(C7:F7)</f>
        <v/>
      </c>
      <c r="H7" s="100" t="n">
        <v>5265000</v>
      </c>
      <c r="I7" s="101">
        <f>108*65000</f>
        <v/>
      </c>
      <c r="J7" s="101">
        <f>135*65000</f>
        <v/>
      </c>
      <c r="K7" s="101">
        <f>J7*1.02</f>
        <v/>
      </c>
      <c r="L7" s="101">
        <f>SUM(G7:K7)</f>
        <v/>
      </c>
      <c r="M7" s="102" t="inlineStr">
        <is>
          <t>Y1:25 stu · Y2:81×$65K · Y3:108×$65K · Y4+:135×$65K · +2%/yr from Y5</t>
        </is>
      </c>
    </row>
    <row r="8" ht="28.35" customHeight="1" s="63">
      <c r="A8" s="98" t="inlineStr">
        <is>
          <t xml:space="preserve">    After-Hours Revenue</t>
        </is>
      </c>
      <c r="B8" s="99" t="n">
        <v>0</v>
      </c>
      <c r="C8" s="100" t="n">
        <v>101563</v>
      </c>
      <c r="D8" s="100" t="n">
        <v>101563</v>
      </c>
      <c r="E8" s="100" t="n">
        <v>101563</v>
      </c>
      <c r="F8" s="100" t="n">
        <v>101561</v>
      </c>
      <c r="G8" s="101">
        <f>SUM(C8:F8)</f>
        <v/>
      </c>
      <c r="H8" s="100" t="n">
        <v>1316250</v>
      </c>
      <c r="I8" s="101">
        <f>108*16250</f>
        <v/>
      </c>
      <c r="J8" s="101">
        <f>135*16250</f>
        <v/>
      </c>
      <c r="K8" s="101">
        <f>J8*1.02</f>
        <v/>
      </c>
      <c r="L8" s="101">
        <f>SUM(G8:K8)</f>
        <v/>
      </c>
      <c r="M8" s="102" t="inlineStr">
        <is>
          <t>Y1:25 stu · Y2:81×$16,250 · Y3:108×$16,250 · Y4+:135×$16,250 · +2%/yr from Y5</t>
        </is>
      </c>
    </row>
    <row r="9" ht="28.35" customHeight="1" s="63">
      <c r="A9" s="98" t="inlineStr">
        <is>
          <t xml:space="preserve">    Summer School Revenue</t>
        </is>
      </c>
      <c r="B9" s="99" t="n">
        <v>0</v>
      </c>
      <c r="C9" s="100" t="n">
        <v>68750</v>
      </c>
      <c r="D9" s="100" t="n">
        <v>68750</v>
      </c>
      <c r="E9" s="100" t="n">
        <v>68750</v>
      </c>
      <c r="F9" s="100" t="n">
        <v>68750</v>
      </c>
      <c r="G9" s="101">
        <f>SUM(C9:F9)</f>
        <v/>
      </c>
      <c r="H9" s="100" t="n">
        <v>891000</v>
      </c>
      <c r="I9" s="101">
        <f>108*11000</f>
        <v/>
      </c>
      <c r="J9" s="101">
        <f>135*11000</f>
        <v/>
      </c>
      <c r="K9" s="101">
        <f>J9*1.02</f>
        <v/>
      </c>
      <c r="L9" s="101">
        <f>SUM(G9:K9)</f>
        <v/>
      </c>
      <c r="M9" s="102" t="inlineStr">
        <is>
          <t>Y1:25 stu · Y2:81×$11K · Y3:108×$11K · Y4+:135×$11K · +2%/yr from Y5</t>
        </is>
      </c>
    </row>
    <row r="10" ht="15" customHeight="1" s="63">
      <c r="A10" s="98" t="inlineStr">
        <is>
          <t xml:space="preserve">    Financial Aid / Discounts</t>
        </is>
      </c>
      <c r="B10" s="99" t="n">
        <v>0</v>
      </c>
      <c r="C10" s="100" t="n">
        <v>0</v>
      </c>
      <c r="D10" s="100" t="n">
        <v>0</v>
      </c>
      <c r="E10" s="100" t="n">
        <v>0</v>
      </c>
      <c r="F10" s="100" t="n">
        <v>0</v>
      </c>
      <c r="G10" s="101">
        <f>SUM(C10:F10)</f>
        <v/>
      </c>
      <c r="H10" s="100" t="n">
        <v>0</v>
      </c>
      <c r="I10" s="101">
        <f>H10</f>
        <v/>
      </c>
      <c r="J10" s="101">
        <f>I10</f>
        <v/>
      </c>
      <c r="K10" s="101">
        <f>J10</f>
        <v/>
      </c>
      <c r="L10" s="101">
        <f>SUM(G10:K10)</f>
        <v/>
      </c>
      <c r="M10" s="102" t="inlineStr">
        <is>
          <t>None modelled — confirm with GM</t>
        </is>
      </c>
    </row>
    <row r="11" ht="15" customHeight="1" s="63">
      <c r="A11" s="103" t="inlineStr">
        <is>
          <t>TOTAL REVENUE</t>
        </is>
      </c>
      <c r="B11" s="104" t="n">
        <v>0</v>
      </c>
      <c r="C11" s="105">
        <f>SUM(C7:C9)-C10</f>
        <v/>
      </c>
      <c r="D11" s="105">
        <f>SUM(D7:D9)-D10</f>
        <v/>
      </c>
      <c r="E11" s="105">
        <f>SUM(E7:E9)-E10</f>
        <v/>
      </c>
      <c r="F11" s="105">
        <f>SUM(F7:F9)-F10</f>
        <v/>
      </c>
      <c r="G11" s="105">
        <f>SUM(G7:G9)-G10</f>
        <v/>
      </c>
      <c r="H11" s="105">
        <f>SUM(H7:H9)-H10</f>
        <v/>
      </c>
      <c r="I11" s="105">
        <f>SUM(I7:I9)-I10</f>
        <v/>
      </c>
      <c r="J11" s="105">
        <f>SUM(J7:J9)-J10</f>
        <v/>
      </c>
      <c r="K11" s="105">
        <f>SUM(K7:K9)-K10</f>
        <v/>
      </c>
      <c r="L11" s="105">
        <f>SUM(L7:L9)-L10</f>
        <v/>
      </c>
      <c r="M11" s="106" t="n"/>
    </row>
    <row r="13" ht="15" customHeight="1" s="63">
      <c r="A13" s="71" t="inlineStr">
        <is>
          <t>DIRECT COSTS — HEADCOUNT (×1.15 HC loading)</t>
        </is>
      </c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 ht="28.35" customHeight="1" s="63">
      <c r="A14" s="98" t="inlineStr">
        <is>
          <t xml:space="preserve">    Lead Guides</t>
        </is>
      </c>
      <c r="B14" s="99" t="n">
        <v>0</v>
      </c>
      <c r="C14" s="100" t="n">
        <v>57500</v>
      </c>
      <c r="D14" s="100" t="n">
        <v>57500</v>
      </c>
      <c r="E14" s="100" t="n">
        <v>57500</v>
      </c>
      <c r="F14" s="100" t="n">
        <v>57500</v>
      </c>
      <c r="G14" s="101">
        <f>SUM(C14:F14)</f>
        <v/>
      </c>
      <c r="H14" s="100" t="n">
        <v>690000</v>
      </c>
      <c r="I14" s="101">
        <f>920000</f>
        <v/>
      </c>
      <c r="J14" s="101">
        <f>I14*1.03</f>
        <v/>
      </c>
      <c r="K14" s="101">
        <f>J14*1.03</f>
        <v/>
      </c>
      <c r="L14" s="101">
        <f>SUM(G14:K14)</f>
        <v/>
      </c>
      <c r="M14" s="102" t="inlineStr">
        <is>
          <t>Y1:1 FTE · Y2:3 FTE (81 stu) · Y3+:4 FTE (108→135 stu) · $200K×1.15 · +3%/yr from Y4</t>
        </is>
      </c>
    </row>
    <row r="15" ht="28.35" customHeight="1" s="63">
      <c r="A15" s="98" t="inlineStr">
        <is>
          <t xml:space="preserve">    Guides</t>
        </is>
      </c>
      <c r="B15" s="99" t="n">
        <v>0</v>
      </c>
      <c r="C15" s="100" t="n">
        <v>69000</v>
      </c>
      <c r="D15" s="100" t="n">
        <v>69000</v>
      </c>
      <c r="E15" s="100" t="n">
        <v>69000</v>
      </c>
      <c r="F15" s="100" t="n">
        <v>69000</v>
      </c>
      <c r="G15" s="101">
        <f>SUM(C15:F15)</f>
        <v/>
      </c>
      <c r="H15" s="100" t="n">
        <v>828000</v>
      </c>
      <c r="I15" s="101">
        <f>966000</f>
        <v/>
      </c>
      <c r="J15" s="101">
        <f>1104000</f>
        <v/>
      </c>
      <c r="K15" s="101">
        <f>J15*1.03</f>
        <v/>
      </c>
      <c r="L15" s="101">
        <f>SUM(G15:K15)</f>
        <v/>
      </c>
      <c r="M15" s="102" t="inlineStr">
        <is>
          <t>Y1:2 FTE · Y2:6 FTE (81 stu) · Y3:7 FTE · Y4+:8 FTE (full for 135 stu) · +3%/yr from Y5</t>
        </is>
      </c>
    </row>
    <row r="16" ht="28.35" customHeight="1" s="63">
      <c r="A16" s="98" t="inlineStr">
        <is>
          <t xml:space="preserve">    Head of School</t>
        </is>
      </c>
      <c r="B16" s="99" t="n">
        <v>0</v>
      </c>
      <c r="C16" s="100" t="n">
        <v>0</v>
      </c>
      <c r="D16" s="100" t="n">
        <v>0</v>
      </c>
      <c r="E16" s="100" t="n">
        <v>0</v>
      </c>
      <c r="F16" s="100" t="n">
        <v>0</v>
      </c>
      <c r="G16" s="101">
        <f>SUM(C16:F16)</f>
        <v/>
      </c>
      <c r="H16" s="100" t="n">
        <v>0</v>
      </c>
      <c r="I16" s="101">
        <f>345000</f>
        <v/>
      </c>
      <c r="J16" s="101">
        <f>I16*1.03</f>
        <v/>
      </c>
      <c r="K16" s="101">
        <f>J16*1.03</f>
        <v/>
      </c>
      <c r="L16" s="101">
        <f>SUM(G16:K16)</f>
        <v/>
      </c>
      <c r="M16" s="102" t="inlineStr">
        <is>
          <t>Y1+Y2: NOT hired (&lt;100 stu) · Y3+: hired (108 stu ≥ 100 threshold) · $300K×1.15</t>
        </is>
      </c>
    </row>
    <row r="17" ht="19.4" customHeight="1" s="63">
      <c r="A17" s="98" t="inlineStr">
        <is>
          <t xml:space="preserve">    Campus Administrator</t>
        </is>
      </c>
      <c r="B17" s="99" t="n">
        <v>0</v>
      </c>
      <c r="C17" s="100" t="n">
        <v>21563</v>
      </c>
      <c r="D17" s="100" t="n">
        <v>21563</v>
      </c>
      <c r="E17" s="100" t="n">
        <v>21563</v>
      </c>
      <c r="F17" s="100" t="n">
        <v>21561</v>
      </c>
      <c r="G17" s="101">
        <f>SUM(C17:F17)</f>
        <v/>
      </c>
      <c r="H17" s="100" t="n">
        <v>86250</v>
      </c>
      <c r="I17" s="101">
        <f>H17*1.03</f>
        <v/>
      </c>
      <c r="J17" s="101">
        <f>I17*1.03</f>
        <v/>
      </c>
      <c r="K17" s="101">
        <f>J17*1.03</f>
        <v/>
      </c>
      <c r="L17" s="101">
        <f>SUM(G17:K17)</f>
        <v/>
      </c>
      <c r="M17" s="102" t="inlineStr">
        <is>
          <t>1 FTE always · $75K×1.15 · +3%/yr from Y3</t>
        </is>
      </c>
    </row>
    <row r="18" ht="15" customHeight="1" s="63">
      <c r="A18" s="103" t="inlineStr">
        <is>
          <t>TOTAL HEADCOUNT COSTS</t>
        </is>
      </c>
      <c r="B18" s="104" t="n">
        <v>0</v>
      </c>
      <c r="C18" s="105">
        <f>SUM(C14:C17)</f>
        <v/>
      </c>
      <c r="D18" s="105">
        <f>SUM(D14:D17)</f>
        <v/>
      </c>
      <c r="E18" s="105">
        <f>SUM(E14:E17)</f>
        <v/>
      </c>
      <c r="F18" s="105">
        <f>SUM(F14:F17)</f>
        <v/>
      </c>
      <c r="G18" s="105">
        <f>SUM(G14:G17)</f>
        <v/>
      </c>
      <c r="H18" s="105">
        <f>SUM(H14:H17)</f>
        <v/>
      </c>
      <c r="I18" s="105">
        <f>SUM(I14:I17)</f>
        <v/>
      </c>
      <c r="J18" s="105">
        <f>SUM(J14:J17)</f>
        <v/>
      </c>
      <c r="K18" s="105">
        <f>SUM(K14:K17)</f>
        <v/>
      </c>
      <c r="L18" s="105">
        <f>SUM(L14:L17)</f>
        <v/>
      </c>
      <c r="M18" s="106" t="n"/>
    </row>
    <row r="20" ht="15" customHeight="1" s="63">
      <c r="A20" s="71" t="inlineStr">
        <is>
          <t>DIRECT COSTS — FACILITIES (ACTUAL lease-based — SAME as BASE)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</row>
    <row r="21" ht="19.4" customHeight="1" s="63">
      <c r="A21" s="98" t="inlineStr">
        <is>
          <t xml:space="preserve">    Base Rent</t>
        </is>
      </c>
      <c r="B21" s="99" t="n">
        <v>0</v>
      </c>
      <c r="C21" s="100" t="n">
        <v>0</v>
      </c>
      <c r="D21" s="100" t="n">
        <v>0</v>
      </c>
      <c r="E21" s="100" t="n">
        <v>155204</v>
      </c>
      <c r="F21" s="100" t="n">
        <v>155204</v>
      </c>
      <c r="G21" s="101">
        <f>SUM(C21:F21)</f>
        <v/>
      </c>
      <c r="H21" s="100" t="n">
        <v>639440</v>
      </c>
      <c r="I21" s="101">
        <f>H21*1.03</f>
        <v/>
      </c>
      <c r="J21" s="101">
        <f>I21*1.03</f>
        <v/>
      </c>
      <c r="K21" s="101">
        <f>J21*1.03</f>
        <v/>
      </c>
      <c r="L21" s="101">
        <f>SUM(G21:K21)</f>
        <v/>
      </c>
      <c r="M21" s="102" t="inlineStr">
        <is>
          <t>Y1: 50% abated (Q1+Q2=$0) · Y2: full rent $620,816×1.03 · +3%/yr</t>
        </is>
      </c>
    </row>
    <row r="22" ht="19.4" customHeight="1" s="63">
      <c r="A22" s="98" t="inlineStr">
        <is>
          <t xml:space="preserve">    OPEX (tax/admin/mgmt/municipal)</t>
        </is>
      </c>
      <c r="B22" s="99" t="n">
        <v>0</v>
      </c>
      <c r="C22" s="100" t="n">
        <v>23230</v>
      </c>
      <c r="D22" s="100" t="n">
        <v>23230</v>
      </c>
      <c r="E22" s="100" t="n">
        <v>23230</v>
      </c>
      <c r="F22" s="100" t="n">
        <v>23230</v>
      </c>
      <c r="G22" s="101">
        <f>SUM(C22:F22)</f>
        <v/>
      </c>
      <c r="H22" s="100" t="n">
        <v>191415</v>
      </c>
      <c r="I22" s="101">
        <f>H22*1.03</f>
        <v/>
      </c>
      <c r="J22" s="101">
        <f>I22*1.03</f>
        <v/>
      </c>
      <c r="K22" s="101">
        <f>J22*1.03</f>
        <v/>
      </c>
      <c r="L22" s="101">
        <f>SUM(G22:K22)</f>
        <v/>
      </c>
      <c r="M22" s="102" t="inlineStr">
        <is>
          <t>Y1 partial · Y2: $185,840×1.03 · 3% cap per lease</t>
        </is>
      </c>
    </row>
    <row r="23" ht="15" customHeight="1" s="63">
      <c r="A23" s="98" t="inlineStr">
        <is>
          <t xml:space="preserve">    Parking</t>
        </is>
      </c>
      <c r="B23" s="99" t="n">
        <v>0</v>
      </c>
      <c r="C23" s="100" t="n">
        <v>24000</v>
      </c>
      <c r="D23" s="100" t="n">
        <v>24000</v>
      </c>
      <c r="E23" s="100" t="n">
        <v>24000</v>
      </c>
      <c r="F23" s="100" t="n">
        <v>24000</v>
      </c>
      <c r="G23" s="101">
        <f>SUM(C23:F23)</f>
        <v/>
      </c>
      <c r="H23" s="100" t="n">
        <v>98880</v>
      </c>
      <c r="I23" s="101">
        <f>H23*1.03</f>
        <v/>
      </c>
      <c r="J23" s="101">
        <f>I23*1.03</f>
        <v/>
      </c>
      <c r="K23" s="101">
        <f>J23*1.03</f>
        <v/>
      </c>
      <c r="L23" s="101">
        <f>SUM(G23:K23)</f>
        <v/>
      </c>
      <c r="M23" s="102" t="inlineStr">
        <is>
          <t>$96,000 base · +3%/yr from Y2</t>
        </is>
      </c>
    </row>
    <row r="24" ht="19.4" customHeight="1" s="63">
      <c r="A24" s="98" t="inlineStr">
        <is>
          <t xml:space="preserve">    Utilities</t>
        </is>
      </c>
      <c r="B24" s="99" t="n">
        <v>0</v>
      </c>
      <c r="C24" s="100" t="n">
        <v>2315</v>
      </c>
      <c r="D24" s="100" t="n">
        <v>2315</v>
      </c>
      <c r="E24" s="100" t="n">
        <v>2315</v>
      </c>
      <c r="F24" s="100" t="n">
        <v>2314</v>
      </c>
      <c r="G24" s="101">
        <f>SUM(C24:F24)</f>
        <v/>
      </c>
      <c r="H24" s="100" t="n">
        <v>51500</v>
      </c>
      <c r="I24" s="101">
        <f>H24*1.03</f>
        <v/>
      </c>
      <c r="J24" s="101">
        <f>I24*1.03</f>
        <v/>
      </c>
      <c r="K24" s="101">
        <f>J24*1.03</f>
        <v/>
      </c>
      <c r="L24" s="101">
        <f>SUM(G24:K24)</f>
        <v/>
      </c>
      <c r="M24" s="102" t="inlineStr">
        <is>
          <t>Y1 partial · Y2: $50,000×1.03 · confirm with facilities</t>
        </is>
      </c>
    </row>
    <row r="25" ht="15" customHeight="1" s="63">
      <c r="A25" s="98" t="inlineStr">
        <is>
          <t xml:space="preserve">    Cleaning + IT/Networking</t>
        </is>
      </c>
      <c r="B25" s="99" t="n">
        <v>0</v>
      </c>
      <c r="C25" s="100" t="n">
        <v>21553</v>
      </c>
      <c r="D25" s="100" t="n">
        <v>21553</v>
      </c>
      <c r="E25" s="100" t="n">
        <v>21553</v>
      </c>
      <c r="F25" s="100" t="n">
        <v>21554</v>
      </c>
      <c r="G25" s="101">
        <f>SUM(C25:F25)</f>
        <v/>
      </c>
      <c r="H25" s="100" t="n">
        <v>247385</v>
      </c>
      <c r="I25" s="101">
        <f>H25*1.03</f>
        <v/>
      </c>
      <c r="J25" s="101">
        <f>I25*1.03</f>
        <v/>
      </c>
      <c r="K25" s="101">
        <f>J25*1.03</f>
        <v/>
      </c>
      <c r="L25" s="101">
        <f>SUM(G25:K25)</f>
        <v/>
      </c>
      <c r="M25" s="102" t="inlineStr">
        <is>
          <t>$240,180 base · +3%/yr from Y2</t>
        </is>
      </c>
    </row>
    <row r="26" ht="15" customHeight="1" s="63">
      <c r="A26" s="98" t="inlineStr">
        <is>
          <t xml:space="preserve">    Security Guards</t>
        </is>
      </c>
      <c r="B26" s="99" t="n">
        <v>0</v>
      </c>
      <c r="C26" s="100" t="n">
        <v>24579</v>
      </c>
      <c r="D26" s="100" t="n">
        <v>24579</v>
      </c>
      <c r="E26" s="100" t="n">
        <v>24579</v>
      </c>
      <c r="F26" s="100" t="n">
        <v>24578</v>
      </c>
      <c r="G26" s="101">
        <f>SUM(C26:F26)</f>
        <v/>
      </c>
      <c r="H26" s="100" t="n">
        <v>101264</v>
      </c>
      <c r="I26" s="101">
        <f>H26*1.03</f>
        <v/>
      </c>
      <c r="J26" s="101">
        <f>I26*1.03</f>
        <v/>
      </c>
      <c r="K26" s="101">
        <f>J26*1.03</f>
        <v/>
      </c>
      <c r="L26" s="101">
        <f>SUM(G26:K26)</f>
        <v/>
      </c>
      <c r="M26" s="102" t="inlineStr">
        <is>
          <t>$98,315 base · +3%/yr from Y2</t>
        </is>
      </c>
    </row>
    <row r="27" ht="19.4" customHeight="1" s="63">
      <c r="A27" s="98" t="inlineStr">
        <is>
          <t xml:space="preserve">    Depreciation &amp; Amortization (D&amp;A)</t>
        </is>
      </c>
      <c r="B27" s="99" t="n">
        <v>0</v>
      </c>
      <c r="C27" s="100" t="n">
        <v>77191</v>
      </c>
      <c r="D27" s="100" t="n">
        <v>77191</v>
      </c>
      <c r="E27" s="100" t="n">
        <v>77191</v>
      </c>
      <c r="F27" s="100" t="n">
        <v>77190</v>
      </c>
      <c r="G27" s="101">
        <f>SUM(C27:F27)</f>
        <v/>
      </c>
      <c r="H27" s="100" t="n">
        <v>308763</v>
      </c>
      <c r="I27" s="101">
        <f>H27</f>
        <v/>
      </c>
      <c r="J27" s="101">
        <f>I27</f>
        <v/>
      </c>
      <c r="K27" s="101">
        <f>J27</f>
        <v/>
      </c>
      <c r="L27" s="101">
        <f>SUM(G27:K27)</f>
        <v/>
      </c>
      <c r="M27" s="102" t="inlineStr">
        <is>
          <t>$1,852,581÷6 yrs=$308,763/yr (non-cash, fixed schedule)</t>
        </is>
      </c>
    </row>
    <row r="28" ht="15" customHeight="1" s="63">
      <c r="A28" s="103" t="inlineStr">
        <is>
          <t>TOTAL FACILITY COSTS</t>
        </is>
      </c>
      <c r="B28" s="104" t="n">
        <v>0</v>
      </c>
      <c r="C28" s="105">
        <f>SUM(C21:C27)</f>
        <v/>
      </c>
      <c r="D28" s="105">
        <f>SUM(D21:D27)</f>
        <v/>
      </c>
      <c r="E28" s="105">
        <f>SUM(E21:E27)</f>
        <v/>
      </c>
      <c r="F28" s="105">
        <f>SUM(F21:F27)</f>
        <v/>
      </c>
      <c r="G28" s="105">
        <f>SUM(G21:G27)</f>
        <v/>
      </c>
      <c r="H28" s="105">
        <f>SUM(H21:H27)</f>
        <v/>
      </c>
      <c r="I28" s="105">
        <f>SUM(I21:I27)</f>
        <v/>
      </c>
      <c r="J28" s="105">
        <f>SUM(J21:J27)</f>
        <v/>
      </c>
      <c r="K28" s="105">
        <f>SUM(K21:K27)</f>
        <v/>
      </c>
      <c r="L28" s="105">
        <f>SUM(L21:L27)</f>
        <v/>
      </c>
      <c r="M28" s="106" t="n"/>
    </row>
    <row r="30" ht="15" customHeight="1" s="63">
      <c r="A30" s="71" t="inlineStr">
        <is>
          <t>DIRECT COSTS — PROGRAMS, TIMEBACK &amp; EXTENDED</t>
        </is>
      </c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</row>
    <row r="31" ht="28.35" customHeight="1" s="63">
      <c r="A31" s="98" t="inlineStr">
        <is>
          <t xml:space="preserve">    Core Programs</t>
        </is>
      </c>
      <c r="B31" s="99" t="n">
        <v>0</v>
      </c>
      <c r="C31" s="100" t="n">
        <v>75000</v>
      </c>
      <c r="D31" s="100" t="n">
        <v>75000</v>
      </c>
      <c r="E31" s="100" t="n">
        <v>75000</v>
      </c>
      <c r="F31" s="100" t="n">
        <v>75000</v>
      </c>
      <c r="G31" s="101">
        <f>SUM(C31:F31)</f>
        <v/>
      </c>
      <c r="H31" s="107" t="n">
        <v>810000</v>
      </c>
      <c r="I31" s="107">
        <f>108*10000</f>
        <v/>
      </c>
      <c r="J31" s="101">
        <f>135*10000</f>
        <v/>
      </c>
      <c r="K31" s="101">
        <f>J31*1.03</f>
        <v/>
      </c>
      <c r="L31" s="101">
        <f>SUM(G31:K31)</f>
        <v/>
      </c>
      <c r="M31" s="102" t="inlineStr">
        <is>
          <t>⚠ ~$10K/stu — CONFIRM with GM · Y2:81 stu · Y3:108 stu · Y4+:135 stu · +3%/yr</t>
        </is>
      </c>
    </row>
    <row r="32" ht="28.35" customHeight="1" s="63">
      <c r="A32" s="98" t="inlineStr">
        <is>
          <t xml:space="preserve">    Miscellaneous</t>
        </is>
      </c>
      <c r="B32" s="99" t="n">
        <v>0</v>
      </c>
      <c r="C32" s="100" t="n">
        <v>21875</v>
      </c>
      <c r="D32" s="100" t="n">
        <v>21875</v>
      </c>
      <c r="E32" s="100" t="n">
        <v>21875</v>
      </c>
      <c r="F32" s="100" t="n">
        <v>21875</v>
      </c>
      <c r="G32" s="101">
        <f>SUM(C32:F32)</f>
        <v/>
      </c>
      <c r="H32" s="107" t="n">
        <v>243000</v>
      </c>
      <c r="I32" s="107">
        <f>108*3000</f>
        <v/>
      </c>
      <c r="J32" s="101">
        <f>135*3000</f>
        <v/>
      </c>
      <c r="K32" s="101">
        <f>J32*1.03</f>
        <v/>
      </c>
      <c r="L32" s="101">
        <f>SUM(G32:K32)</f>
        <v/>
      </c>
      <c r="M32" s="102" t="inlineStr">
        <is>
          <t>⚠ ~$3K/stu — CONFIRM with GM · Y2:81 stu · Y3:108 stu · Y4+:135 stu · +3%/yr</t>
        </is>
      </c>
    </row>
    <row r="33" ht="22.35" customHeight="1" s="63">
      <c r="A33" s="98" t="inlineStr">
        <is>
          <t xml:space="preserve">    Timeback Platform Fee (20% of Core Tuition)</t>
        </is>
      </c>
      <c r="B33" s="99" t="n">
        <v>0</v>
      </c>
      <c r="C33" s="100" t="n">
        <v>81250</v>
      </c>
      <c r="D33" s="100" t="n">
        <v>81250</v>
      </c>
      <c r="E33" s="100" t="n">
        <v>81250</v>
      </c>
      <c r="F33" s="100" t="n">
        <v>81250</v>
      </c>
      <c r="G33" s="101">
        <f>SUM(C33:F33)</f>
        <v/>
      </c>
      <c r="H33" s="108">
        <f>H7*0.2</f>
        <v/>
      </c>
      <c r="I33" s="108">
        <f>I7*0.2</f>
        <v/>
      </c>
      <c r="J33" s="108">
        <f>J7*0.2</f>
        <v/>
      </c>
      <c r="K33" s="108">
        <f>K7*0.2</f>
        <v/>
      </c>
      <c r="L33" s="108">
        <f>SUM(G33:K33)</f>
        <v/>
      </c>
      <c r="M33" s="102" t="inlineStr">
        <is>
          <t>20% × Core Tuition — formula-driven all years</t>
        </is>
      </c>
    </row>
    <row r="34" ht="28.35" customHeight="1" s="63">
      <c r="A34" s="98" t="inlineStr">
        <is>
          <t xml:space="preserve">    Extended Programs Cost</t>
        </is>
      </c>
      <c r="B34" s="99" t="n">
        <v>0</v>
      </c>
      <c r="C34" s="100" t="n">
        <v>136748</v>
      </c>
      <c r="D34" s="100" t="n">
        <v>136748</v>
      </c>
      <c r="E34" s="100" t="n">
        <v>136748</v>
      </c>
      <c r="F34" s="100" t="n">
        <v>136747</v>
      </c>
      <c r="G34" s="101">
        <f>SUM(C34:F34)</f>
        <v/>
      </c>
      <c r="H34" s="107" t="n">
        <v>1500000</v>
      </c>
      <c r="I34" s="107">
        <f>H34*1.03</f>
        <v/>
      </c>
      <c r="J34" s="101">
        <f>2500000</f>
        <v/>
      </c>
      <c r="K34" s="101">
        <f>J34*1.03</f>
        <v/>
      </c>
      <c r="L34" s="101">
        <f>SUM(G34:K34)</f>
        <v/>
      </c>
      <c r="M34" s="102" t="inlineStr">
        <is>
          <t>⚠ proportional to ext rev — CONFIRM · Y2:81 est · Y3:108 est · Y4+:135 stu</t>
        </is>
      </c>
    </row>
    <row r="35" ht="15" customHeight="1" s="63">
      <c r="A35" s="103" t="inlineStr">
        <is>
          <t>TOTAL PROGRAMS &amp; OTHER</t>
        </is>
      </c>
      <c r="B35" s="104" t="n">
        <v>0</v>
      </c>
      <c r="C35" s="105">
        <f>SUM(C31:C34)</f>
        <v/>
      </c>
      <c r="D35" s="105">
        <f>SUM(D31:D34)</f>
        <v/>
      </c>
      <c r="E35" s="105">
        <f>SUM(E31:E34)</f>
        <v/>
      </c>
      <c r="F35" s="105">
        <f>SUM(F31:F34)</f>
        <v/>
      </c>
      <c r="G35" s="105">
        <f>SUM(G31:G34)</f>
        <v/>
      </c>
      <c r="H35" s="105">
        <f>SUM(H31:H34)</f>
        <v/>
      </c>
      <c r="I35" s="105">
        <f>SUM(I31:I34)</f>
        <v/>
      </c>
      <c r="J35" s="105">
        <f>SUM(J31:J34)</f>
        <v/>
      </c>
      <c r="K35" s="105">
        <f>SUM(K31:K34)</f>
        <v/>
      </c>
      <c r="L35" s="105">
        <f>SUM(L31:L34)</f>
        <v/>
      </c>
      <c r="M35" s="106" t="n"/>
    </row>
    <row r="37" ht="15" customHeight="1" s="63">
      <c r="A37" s="103" t="inlineStr">
        <is>
          <t>TOTAL DIRECT COSTS</t>
        </is>
      </c>
      <c r="B37" s="104" t="n">
        <v>0</v>
      </c>
      <c r="C37" s="105">
        <f>C18+C28+C35</f>
        <v/>
      </c>
      <c r="D37" s="105">
        <f>D18+D28+D35</f>
        <v/>
      </c>
      <c r="E37" s="105">
        <f>E18+E28+E35</f>
        <v/>
      </c>
      <c r="F37" s="105">
        <f>F18+F28+F35</f>
        <v/>
      </c>
      <c r="G37" s="105">
        <f>G18+G28+G35</f>
        <v/>
      </c>
      <c r="H37" s="105">
        <f>H18+H28+H35</f>
        <v/>
      </c>
      <c r="I37" s="105">
        <f>I18+I28+I35</f>
        <v/>
      </c>
      <c r="J37" s="105">
        <f>J18+J28+J35</f>
        <v/>
      </c>
      <c r="K37" s="105">
        <f>K18+K28+K35</f>
        <v/>
      </c>
      <c r="L37" s="105">
        <f>L18+L28+L35</f>
        <v/>
      </c>
      <c r="M37" s="106" t="n"/>
    </row>
    <row r="39" ht="15" customHeight="1" s="63">
      <c r="A39" s="71" t="inlineStr">
        <is>
          <t>OPERATING PROFIT</t>
        </is>
      </c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</row>
    <row r="40" ht="15" customHeight="1" s="63">
      <c r="A40" s="103" t="inlineStr">
        <is>
          <t>EBIT (Operating Profit / Loss)</t>
        </is>
      </c>
      <c r="B40" s="104" t="n">
        <v>0</v>
      </c>
      <c r="C40" s="105">
        <f>C11-C37</f>
        <v/>
      </c>
      <c r="D40" s="105">
        <f>D11-D37</f>
        <v/>
      </c>
      <c r="E40" s="105">
        <f>E11-E37</f>
        <v/>
      </c>
      <c r="F40" s="105">
        <f>F11-F37</f>
        <v/>
      </c>
      <c r="G40" s="105">
        <f>G11-G37</f>
        <v/>
      </c>
      <c r="H40" s="105">
        <f>H11-H37</f>
        <v/>
      </c>
      <c r="I40" s="105">
        <f>I11-I37</f>
        <v/>
      </c>
      <c r="J40" s="105">
        <f>J11-J37</f>
        <v/>
      </c>
      <c r="K40" s="105">
        <f>K11-K37</f>
        <v/>
      </c>
      <c r="L40" s="105">
        <f>L11-L37</f>
        <v/>
      </c>
      <c r="M40" s="109" t="inlineStr">
        <is>
          <t>Revenue − Total Direct Costs</t>
        </is>
      </c>
    </row>
    <row r="41" ht="15" customHeight="1" s="63">
      <c r="A41" s="98" t="inlineStr">
        <is>
          <t xml:space="preserve">    Add back: D&amp;A (non-cash)</t>
        </is>
      </c>
      <c r="B41" s="99" t="n">
        <v>0</v>
      </c>
      <c r="C41" s="100" t="n">
        <v>77191</v>
      </c>
      <c r="D41" s="100" t="n">
        <v>77191</v>
      </c>
      <c r="E41" s="100" t="n">
        <v>77191</v>
      </c>
      <c r="F41" s="100" t="n">
        <v>77190</v>
      </c>
      <c r="G41" s="101">
        <f>SUM(C41:F41)</f>
        <v/>
      </c>
      <c r="H41" s="100" t="n">
        <v>308763</v>
      </c>
      <c r="I41" s="101">
        <f>H27</f>
        <v/>
      </c>
      <c r="J41" s="101">
        <f>I27</f>
        <v/>
      </c>
      <c r="K41" s="101">
        <f>J27</f>
        <v/>
      </c>
      <c r="L41" s="101">
        <f>SUM(G41:K41)</f>
        <v/>
      </c>
      <c r="M41" s="102" t="inlineStr">
        <is>
          <t>Non-cash — add back to get EBITDA</t>
        </is>
      </c>
    </row>
    <row r="42" ht="15" customHeight="1" s="63">
      <c r="A42" s="103" t="inlineStr">
        <is>
          <t>EBITDA</t>
        </is>
      </c>
      <c r="B42" s="104" t="n">
        <v>0</v>
      </c>
      <c r="C42" s="105">
        <f>C40+C41</f>
        <v/>
      </c>
      <c r="D42" s="105">
        <f>D40+D41</f>
        <v/>
      </c>
      <c r="E42" s="105">
        <f>E40+E41</f>
        <v/>
      </c>
      <c r="F42" s="105">
        <f>F40+F41</f>
        <v/>
      </c>
      <c r="G42" s="105">
        <f>G40+G41</f>
        <v/>
      </c>
      <c r="H42" s="105">
        <f>H40+H41</f>
        <v/>
      </c>
      <c r="I42" s="105">
        <f>I40+I41</f>
        <v/>
      </c>
      <c r="J42" s="105">
        <f>J40+J41</f>
        <v/>
      </c>
      <c r="K42" s="105">
        <f>K40+K41</f>
        <v/>
      </c>
      <c r="L42" s="105">
        <f>L40+L41</f>
        <v/>
      </c>
      <c r="M42" s="109" t="n"/>
    </row>
    <row r="44" ht="15" customHeight="1" s="63">
      <c r="A44" s="71" t="inlineStr">
        <is>
          <t>CASH FLOW</t>
        </is>
      </c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</row>
    <row r="45" ht="19.4" customHeight="1" s="63">
      <c r="A45" s="98" t="inlineStr">
        <is>
          <t xml:space="preserve">    Less: CapEx (opening investment)</t>
        </is>
      </c>
      <c r="B45" s="99" t="n">
        <v>0</v>
      </c>
      <c r="C45" s="100" t="n">
        <v>-1852581</v>
      </c>
      <c r="D45" s="100" t="n">
        <v>0</v>
      </c>
      <c r="E45" s="100" t="n">
        <v>0</v>
      </c>
      <c r="F45" s="100" t="n">
        <v>0</v>
      </c>
      <c r="G45" s="101">
        <f>SUM(C45:F45)</f>
        <v/>
      </c>
      <c r="H45" s="100" t="n">
        <v>0</v>
      </c>
      <c r="I45" s="101">
        <f>H45</f>
        <v/>
      </c>
      <c r="J45" s="101">
        <f>I45</f>
        <v/>
      </c>
      <c r="K45" s="101">
        <f>J45</f>
        <v/>
      </c>
      <c r="L45" s="101">
        <f>SUM(G45:K45)</f>
        <v/>
      </c>
      <c r="M45" s="102" t="inlineStr">
        <is>
          <t>Full $1,852,581 in Q1 opening; no additional capex Y2-Y5</t>
        </is>
      </c>
    </row>
    <row r="46" ht="15" customHeight="1" s="63">
      <c r="A46" s="103" t="inlineStr">
        <is>
          <t>NET CASH FLOW</t>
        </is>
      </c>
      <c r="B46" s="104" t="n">
        <v>0</v>
      </c>
      <c r="C46" s="105">
        <f>C42+C45</f>
        <v/>
      </c>
      <c r="D46" s="105">
        <f>D42+D45</f>
        <v/>
      </c>
      <c r="E46" s="105">
        <f>E42+E45</f>
        <v/>
      </c>
      <c r="F46" s="105">
        <f>F42+F45</f>
        <v/>
      </c>
      <c r="G46" s="105">
        <f>G42+G45</f>
        <v/>
      </c>
      <c r="H46" s="105">
        <f>H42+H45</f>
        <v/>
      </c>
      <c r="I46" s="105">
        <f>I42+I45</f>
        <v/>
      </c>
      <c r="J46" s="105">
        <f>J42+J45</f>
        <v/>
      </c>
      <c r="K46" s="105">
        <f>K42+K45</f>
        <v/>
      </c>
      <c r="L46" s="105">
        <f>L42+L45</f>
        <v/>
      </c>
      <c r="M46" s="109" t="n"/>
    </row>
    <row r="47" ht="19.4" customHeight="1" s="63">
      <c r="A47" s="98" t="inlineStr">
        <is>
          <t>Cumulative Net Cash Flow</t>
        </is>
      </c>
      <c r="B47" s="99" t="n">
        <v>0</v>
      </c>
      <c r="C47" s="101">
        <f>C46</f>
        <v/>
      </c>
      <c r="D47" s="101">
        <f>C47+D46</f>
        <v/>
      </c>
      <c r="E47" s="101">
        <f>D47+E46</f>
        <v/>
      </c>
      <c r="F47" s="101">
        <f>E47+F46</f>
        <v/>
      </c>
      <c r="G47" s="101">
        <f>G46</f>
        <v/>
      </c>
      <c r="H47" s="101">
        <f>G47+H46</f>
        <v/>
      </c>
      <c r="I47" s="101">
        <f>H47+I46</f>
        <v/>
      </c>
      <c r="J47" s="101">
        <f>I47+J46</f>
        <v/>
      </c>
      <c r="K47" s="101">
        <f>J47+K46</f>
        <v/>
      </c>
      <c r="L47" s="110" t="n"/>
      <c r="M47" s="102" t="inlineStr">
        <is>
          <t>Running total — shows payback trajectory</t>
        </is>
      </c>
    </row>
    <row r="49" ht="15" customHeight="1" s="63">
      <c r="A49" s="71" t="inlineStr">
        <is>
          <t>KEY METRICS</t>
        </is>
      </c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</row>
    <row r="50" ht="15" customHeight="1" s="63">
      <c r="A50" s="98" t="inlineStr">
        <is>
          <t>EBIT Margin %</t>
        </is>
      </c>
      <c r="B50" s="99" t="n">
        <v>0</v>
      </c>
      <c r="C50" s="111">
        <f>IFERROR(C40/C11,0)</f>
        <v/>
      </c>
      <c r="D50" s="111">
        <f>IFERROR(D40/D11,0)</f>
        <v/>
      </c>
      <c r="E50" s="111">
        <f>IFERROR(E40/E11,0)</f>
        <v/>
      </c>
      <c r="F50" s="111">
        <f>IFERROR(F40/F11,0)</f>
        <v/>
      </c>
      <c r="G50" s="111">
        <f>IFERROR(G40/G11,0)</f>
        <v/>
      </c>
      <c r="H50" s="111">
        <f>IFERROR(H40/H11,0)</f>
        <v/>
      </c>
      <c r="I50" s="111">
        <f>IFERROR(I40/I11,0)</f>
        <v/>
      </c>
      <c r="J50" s="111">
        <f>IFERROR(J40/J11,0)</f>
        <v/>
      </c>
      <c r="K50" s="111">
        <f>IFERROR(K40/K11,0)</f>
        <v/>
      </c>
      <c r="L50" s="111">
        <f>IFERROR(L40/L11,0)</f>
        <v/>
      </c>
      <c r="M50" s="102" t="inlineStr">
        <is>
          <t>EBIT ÷ Revenue</t>
        </is>
      </c>
    </row>
    <row r="51" ht="15" customHeight="1" s="63">
      <c r="A51" s="98" t="inlineStr">
        <is>
          <t>EBITDA Margin %</t>
        </is>
      </c>
      <c r="B51" s="99" t="n">
        <v>0</v>
      </c>
      <c r="C51" s="111">
        <f>IFERROR(C42/C11,0)</f>
        <v/>
      </c>
      <c r="D51" s="111">
        <f>IFERROR(D42/D11,0)</f>
        <v/>
      </c>
      <c r="E51" s="111">
        <f>IFERROR(E42/E11,0)</f>
        <v/>
      </c>
      <c r="F51" s="111">
        <f>IFERROR(F42/F11,0)</f>
        <v/>
      </c>
      <c r="G51" s="111">
        <f>IFERROR(G42/G11,0)</f>
        <v/>
      </c>
      <c r="H51" s="111">
        <f>IFERROR(H42/H11,0)</f>
        <v/>
      </c>
      <c r="I51" s="111">
        <f>IFERROR(I42/I11,0)</f>
        <v/>
      </c>
      <c r="J51" s="111">
        <f>IFERROR(J42/J11,0)</f>
        <v/>
      </c>
      <c r="K51" s="111">
        <f>IFERROR(K42/K11,0)</f>
        <v/>
      </c>
      <c r="L51" s="111">
        <f>IFERROR(L42/L11,0)</f>
        <v/>
      </c>
      <c r="M51" s="102" t="inlineStr">
        <is>
          <t>EBITDA ÷ Revenue</t>
        </is>
      </c>
    </row>
    <row r="52" ht="15" customHeight="1" s="63">
      <c r="A52" s="98" t="inlineStr">
        <is>
          <t>Revenue per Student</t>
        </is>
      </c>
      <c r="B52" s="99" t="n">
        <v>0</v>
      </c>
      <c r="C52" s="101">
        <f>IFERROR(C11/25,0)</f>
        <v/>
      </c>
      <c r="D52" s="101">
        <f>IFERROR(D11/25,0)</f>
        <v/>
      </c>
      <c r="E52" s="101">
        <f>IFERROR(E11/25,0)</f>
        <v/>
      </c>
      <c r="F52" s="101">
        <f>IFERROR(F11/25,0)</f>
        <v/>
      </c>
      <c r="G52" s="101">
        <f>IFERROR(G11/25,0)</f>
        <v/>
      </c>
      <c r="H52" s="101">
        <f>IFERROR(H11/H4,0)</f>
        <v/>
      </c>
      <c r="I52" s="101">
        <f>IFERROR(I11/I4,0)</f>
        <v/>
      </c>
      <c r="J52" s="101">
        <f>IFERROR(J11/J4,0)</f>
        <v/>
      </c>
      <c r="K52" s="101">
        <f>IFERROR(K11/K4,0)</f>
        <v/>
      </c>
      <c r="L52" s="110" t="n"/>
      <c r="M52" s="102" t="inlineStr">
        <is>
          <t>Revenue ÷ enrolled students</t>
        </is>
      </c>
    </row>
    <row r="54" ht="21.75" customHeight="1" s="63">
      <c r="A54" s="112" t="inlineStr">
        <is>
          <t>⚠  CONSTRAINED: 20% enrollment pullback Y2-Y3 · Y4 returns to max (135 stu) · Fixed facility costs HELD at BASE levels · HoS hired only in Y3+ (≥100 stu threshold) · Confirm program per-student rates with GM</t>
        </is>
      </c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</row>
  </sheetData>
  <mergeCells count="10">
    <mergeCell ref="A13:M13"/>
    <mergeCell ref="A44:M44"/>
    <mergeCell ref="A1:M1"/>
    <mergeCell ref="A6:M6"/>
    <mergeCell ref="A30:M30"/>
    <mergeCell ref="A39:M39"/>
    <mergeCell ref="A2:M2"/>
    <mergeCell ref="A20:M20"/>
    <mergeCell ref="A54:M54"/>
    <mergeCell ref="A49:M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62" min="1" max="1"/>
    <col width="14" customWidth="1" style="62" min="2" max="2"/>
    <col width="13" customWidth="1" style="62" min="3" max="6"/>
    <col width="15" customWidth="1" style="62" min="7" max="12"/>
    <col width="26" customWidth="1" style="62" min="13" max="13"/>
  </cols>
  <sheetData>
    <row r="1" ht="24" customHeight="1" s="63">
      <c r="A1" s="115" t="inlineStr">
        <is>
          <t>Alpha Kirkland — STRETCH CASE | SY26/27 Quarterly + 5-Year Annual P&amp;L (ACTUAL Lease Model)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 ht="13.5" customHeight="1" s="63">
      <c r="A2" s="116" t="inlineStr">
        <is>
          <t>Y1=25 stu · Y2+=135 stu (full capacity from Year 2, no ramp)  |  Revenue +2%/yr · Costs +3%/yr · Finance DRI: Kadmiel VonSpringer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</row>
    <row r="3" ht="36" customHeight="1" s="63">
      <c r="A3" s="91" t="n"/>
      <c r="B3" s="91" t="inlineStr">
        <is>
          <t>SY25/26
Actuals</t>
        </is>
      </c>
      <c r="C3" s="91" t="inlineStr">
        <is>
          <t>Q1
Jul–Sep '26</t>
        </is>
      </c>
      <c r="D3" s="91" t="inlineStr">
        <is>
          <t>Q2
Oct–Dec '26</t>
        </is>
      </c>
      <c r="E3" s="91" t="inlineStr">
        <is>
          <t>Q3
Jan–Mar '27</t>
        </is>
      </c>
      <c r="F3" s="91" t="inlineStr">
        <is>
          <t>Q4
Apr–Jun '27</t>
        </is>
      </c>
      <c r="G3" s="91" t="inlineStr">
        <is>
          <t>SY26/27
Full Year</t>
        </is>
      </c>
      <c r="H3" s="91" t="inlineStr">
        <is>
          <t>Y2
SY27/28</t>
        </is>
      </c>
      <c r="I3" s="91" t="inlineStr">
        <is>
          <t>Y3
SY28/29</t>
        </is>
      </c>
      <c r="J3" s="91" t="inlineStr">
        <is>
          <t>Y4
SY29/30</t>
        </is>
      </c>
      <c r="K3" s="91" t="inlineStr">
        <is>
          <t>Y5
SY30/31</t>
        </is>
      </c>
      <c r="L3" s="91" t="inlineStr">
        <is>
          <t>5-Year
Total</t>
        </is>
      </c>
      <c r="M3" s="91" t="inlineStr">
        <is>
          <t>Notes</t>
        </is>
      </c>
    </row>
    <row r="4" ht="28.35" customHeight="1" s="63">
      <c r="A4" s="92" t="inlineStr">
        <is>
          <t>Enrolled Students</t>
        </is>
      </c>
      <c r="B4" s="93" t="n">
        <v>0</v>
      </c>
      <c r="C4" s="94" t="n">
        <v>25</v>
      </c>
      <c r="D4" s="94" t="n">
        <v>25</v>
      </c>
      <c r="E4" s="94" t="n">
        <v>25</v>
      </c>
      <c r="F4" s="94" t="n">
        <v>25</v>
      </c>
      <c r="G4" s="95">
        <f>C4</f>
        <v/>
      </c>
      <c r="H4" s="94" t="n">
        <v>135</v>
      </c>
      <c r="I4" s="94" t="n">
        <v>135</v>
      </c>
      <c r="J4" s="94" t="n">
        <v>135</v>
      </c>
      <c r="K4" s="94" t="n">
        <v>135</v>
      </c>
      <c r="L4" s="96" t="inlineStr">
        <is>
          <t>-</t>
        </is>
      </c>
      <c r="M4" s="97" t="inlineStr">
        <is>
          <t>Y1:25 · Y2+:135 (full capacity — Stretch fires when named lever exceeds plan)</t>
        </is>
      </c>
    </row>
    <row r="6" ht="15" customHeight="1" s="63">
      <c r="A6" s="71" t="inlineStr">
        <is>
          <t>REVENUE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</row>
    <row r="7" ht="19.4" customHeight="1" s="63">
      <c r="A7" s="98" t="inlineStr">
        <is>
          <t xml:space="preserve">    Core Tuition Revenue</t>
        </is>
      </c>
      <c r="B7" s="99" t="n">
        <v>0</v>
      </c>
      <c r="C7" s="100" t="n">
        <v>406250</v>
      </c>
      <c r="D7" s="100" t="n">
        <v>406250</v>
      </c>
      <c r="E7" s="100" t="n">
        <v>406250</v>
      </c>
      <c r="F7" s="100" t="n">
        <v>406250</v>
      </c>
      <c r="G7" s="101">
        <f>SUM(C7:F7)</f>
        <v/>
      </c>
      <c r="H7" s="100" t="n">
        <v>8775000</v>
      </c>
      <c r="I7" s="101">
        <f>H7*1.02</f>
        <v/>
      </c>
      <c r="J7" s="101">
        <f>I7*1.02</f>
        <v/>
      </c>
      <c r="K7" s="101">
        <f>J7*1.02</f>
        <v/>
      </c>
      <c r="L7" s="101">
        <f>SUM(G7:K7)</f>
        <v/>
      </c>
      <c r="M7" s="102" t="inlineStr">
        <is>
          <t>Y1:25 stu · Y2+:135×$65K · +2%/yr from Y3</t>
        </is>
      </c>
    </row>
    <row r="8" ht="19.4" customHeight="1" s="63">
      <c r="A8" s="98" t="inlineStr">
        <is>
          <t xml:space="preserve">    After-Hours Revenue</t>
        </is>
      </c>
      <c r="B8" s="99" t="n">
        <v>0</v>
      </c>
      <c r="C8" s="100" t="n">
        <v>101563</v>
      </c>
      <c r="D8" s="100" t="n">
        <v>101563</v>
      </c>
      <c r="E8" s="100" t="n">
        <v>101563</v>
      </c>
      <c r="F8" s="100" t="n">
        <v>101561</v>
      </c>
      <c r="G8" s="101">
        <f>SUM(C8:F8)</f>
        <v/>
      </c>
      <c r="H8" s="100" t="n">
        <v>2193750</v>
      </c>
      <c r="I8" s="101">
        <f>H8*1.02</f>
        <v/>
      </c>
      <c r="J8" s="101">
        <f>I8*1.02</f>
        <v/>
      </c>
      <c r="K8" s="101">
        <f>J8*1.02</f>
        <v/>
      </c>
      <c r="L8" s="101">
        <f>SUM(G8:K8)</f>
        <v/>
      </c>
      <c r="M8" s="102" t="inlineStr">
        <is>
          <t>Y1:25 stu · Y2+:135×$16,250 · +2%/yr from Y3</t>
        </is>
      </c>
    </row>
    <row r="9" ht="19.4" customHeight="1" s="63">
      <c r="A9" s="98" t="inlineStr">
        <is>
          <t xml:space="preserve">    Summer School Revenue</t>
        </is>
      </c>
      <c r="B9" s="99" t="n">
        <v>0</v>
      </c>
      <c r="C9" s="100" t="n">
        <v>68750</v>
      </c>
      <c r="D9" s="100" t="n">
        <v>68750</v>
      </c>
      <c r="E9" s="100" t="n">
        <v>68750</v>
      </c>
      <c r="F9" s="100" t="n">
        <v>68750</v>
      </c>
      <c r="G9" s="101">
        <f>SUM(C9:F9)</f>
        <v/>
      </c>
      <c r="H9" s="100" t="n">
        <v>1485000</v>
      </c>
      <c r="I9" s="101">
        <f>H9*1.02</f>
        <v/>
      </c>
      <c r="J9" s="101">
        <f>I9*1.02</f>
        <v/>
      </c>
      <c r="K9" s="101">
        <f>J9*1.02</f>
        <v/>
      </c>
      <c r="L9" s="101">
        <f>SUM(G9:K9)</f>
        <v/>
      </c>
      <c r="M9" s="102" t="inlineStr">
        <is>
          <t>Y1:25 stu · Y2+:135×$11K · +2%/yr from Y3</t>
        </is>
      </c>
    </row>
    <row r="10" ht="15" customHeight="1" s="63">
      <c r="A10" s="98" t="inlineStr">
        <is>
          <t xml:space="preserve">    Financial Aid / Discounts</t>
        </is>
      </c>
      <c r="B10" s="99" t="n">
        <v>0</v>
      </c>
      <c r="C10" s="100" t="n">
        <v>0</v>
      </c>
      <c r="D10" s="100" t="n">
        <v>0</v>
      </c>
      <c r="E10" s="100" t="n">
        <v>0</v>
      </c>
      <c r="F10" s="100" t="n">
        <v>0</v>
      </c>
      <c r="G10" s="101">
        <f>SUM(C10:F10)</f>
        <v/>
      </c>
      <c r="H10" s="100" t="n">
        <v>0</v>
      </c>
      <c r="I10" s="101">
        <f>H10</f>
        <v/>
      </c>
      <c r="J10" s="101">
        <f>I10</f>
        <v/>
      </c>
      <c r="K10" s="101">
        <f>J10</f>
        <v/>
      </c>
      <c r="L10" s="101">
        <f>SUM(G10:K10)</f>
        <v/>
      </c>
      <c r="M10" s="102" t="inlineStr">
        <is>
          <t>None modelled — confirm with GM</t>
        </is>
      </c>
    </row>
    <row r="11" ht="15" customHeight="1" s="63">
      <c r="A11" s="103" t="inlineStr">
        <is>
          <t>TOTAL REVENUE</t>
        </is>
      </c>
      <c r="B11" s="104" t="n">
        <v>0</v>
      </c>
      <c r="C11" s="105">
        <f>SUM(C7:C9)-C10</f>
        <v/>
      </c>
      <c r="D11" s="105">
        <f>SUM(D7:D9)-D10</f>
        <v/>
      </c>
      <c r="E11" s="105">
        <f>SUM(E7:E9)-E10</f>
        <v/>
      </c>
      <c r="F11" s="105">
        <f>SUM(F7:F9)-F10</f>
        <v/>
      </c>
      <c r="G11" s="105">
        <f>SUM(G7:G9)-G10</f>
        <v/>
      </c>
      <c r="H11" s="105">
        <f>SUM(H7:H9)-H10</f>
        <v/>
      </c>
      <c r="I11" s="105">
        <f>SUM(I7:I9)-I10</f>
        <v/>
      </c>
      <c r="J11" s="105">
        <f>SUM(J7:J9)-J10</f>
        <v/>
      </c>
      <c r="K11" s="105">
        <f>SUM(K7:K9)-K10</f>
        <v/>
      </c>
      <c r="L11" s="105">
        <f>SUM(L7:L9)-L10</f>
        <v/>
      </c>
      <c r="M11" s="106" t="n"/>
    </row>
    <row r="13" ht="15" customHeight="1" s="63">
      <c r="A13" s="71" t="inlineStr">
        <is>
          <t>DIRECT COSTS — HEADCOUNT (×1.15 HC loading)</t>
        </is>
      </c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</row>
    <row r="14" ht="28.35" customHeight="1" s="63">
      <c r="A14" s="98" t="inlineStr">
        <is>
          <t xml:space="preserve">    Lead Guides</t>
        </is>
      </c>
      <c r="B14" s="99" t="n">
        <v>0</v>
      </c>
      <c r="C14" s="100" t="n">
        <v>57500</v>
      </c>
      <c r="D14" s="100" t="n">
        <v>57500</v>
      </c>
      <c r="E14" s="100" t="n">
        <v>57500</v>
      </c>
      <c r="F14" s="100" t="n">
        <v>57500</v>
      </c>
      <c r="G14" s="101">
        <f>SUM(C14:F14)</f>
        <v/>
      </c>
      <c r="H14" s="100" t="n">
        <v>920000</v>
      </c>
      <c r="I14" s="101">
        <f>H14*1.03</f>
        <v/>
      </c>
      <c r="J14" s="101">
        <f>I14*1.03</f>
        <v/>
      </c>
      <c r="K14" s="101">
        <f>J14*1.03</f>
        <v/>
      </c>
      <c r="L14" s="101">
        <f>SUM(G14:K14)</f>
        <v/>
      </c>
      <c r="M14" s="102" t="inlineStr">
        <is>
          <t>Y1:1 FTE · Y2+:4 FTE (full capacity from Y2) · $200K×1.15 · +3%/yr from Y3</t>
        </is>
      </c>
    </row>
    <row r="15" ht="28.35" customHeight="1" s="63">
      <c r="A15" s="98" t="inlineStr">
        <is>
          <t xml:space="preserve">    Guides</t>
        </is>
      </c>
      <c r="B15" s="99" t="n">
        <v>0</v>
      </c>
      <c r="C15" s="100" t="n">
        <v>69000</v>
      </c>
      <c r="D15" s="100" t="n">
        <v>69000</v>
      </c>
      <c r="E15" s="100" t="n">
        <v>69000</v>
      </c>
      <c r="F15" s="100" t="n">
        <v>69000</v>
      </c>
      <c r="G15" s="101">
        <f>SUM(C15:F15)</f>
        <v/>
      </c>
      <c r="H15" s="100" t="n">
        <v>1104000</v>
      </c>
      <c r="I15" s="101">
        <f>H15*1.03</f>
        <v/>
      </c>
      <c r="J15" s="101">
        <f>I15*1.03</f>
        <v/>
      </c>
      <c r="K15" s="101">
        <f>J15*1.03</f>
        <v/>
      </c>
      <c r="L15" s="101">
        <f>SUM(G15:K15)</f>
        <v/>
      </c>
      <c r="M15" s="102" t="inlineStr">
        <is>
          <t>Y1:2 FTE · Y2+:8 FTE (full capacity from Y2) · $120K×1.15 · +3%/yr from Y3</t>
        </is>
      </c>
    </row>
    <row r="16" ht="28.35" customHeight="1" s="63">
      <c r="A16" s="98" t="inlineStr">
        <is>
          <t xml:space="preserve">    Head of School</t>
        </is>
      </c>
      <c r="B16" s="99" t="n">
        <v>0</v>
      </c>
      <c r="C16" s="100" t="n">
        <v>0</v>
      </c>
      <c r="D16" s="100" t="n">
        <v>0</v>
      </c>
      <c r="E16" s="100" t="n">
        <v>0</v>
      </c>
      <c r="F16" s="100" t="n">
        <v>0</v>
      </c>
      <c r="G16" s="101">
        <f>SUM(C16:F16)</f>
        <v/>
      </c>
      <c r="H16" s="100" t="n">
        <v>345000</v>
      </c>
      <c r="I16" s="101">
        <f>H16*1.03</f>
        <v/>
      </c>
      <c r="J16" s="101">
        <f>I16*1.03</f>
        <v/>
      </c>
      <c r="K16" s="101">
        <f>J16*1.03</f>
        <v/>
      </c>
      <c r="L16" s="101">
        <f>SUM(G16:K16)</f>
        <v/>
      </c>
      <c r="M16" s="102" t="inlineStr">
        <is>
          <t>Not in Y1 (&lt;100 stu) · Y2+: hired (135 stu ≥ 100 threshold) · $300K×1.15 · +3%/yr</t>
        </is>
      </c>
    </row>
    <row r="17" ht="19.4" customHeight="1" s="63">
      <c r="A17" s="98" t="inlineStr">
        <is>
          <t xml:space="preserve">    Campus Administrator</t>
        </is>
      </c>
      <c r="B17" s="99" t="n">
        <v>0</v>
      </c>
      <c r="C17" s="100" t="n">
        <v>21563</v>
      </c>
      <c r="D17" s="100" t="n">
        <v>21563</v>
      </c>
      <c r="E17" s="100" t="n">
        <v>21563</v>
      </c>
      <c r="F17" s="100" t="n">
        <v>21561</v>
      </c>
      <c r="G17" s="101">
        <f>SUM(C17:F17)</f>
        <v/>
      </c>
      <c r="H17" s="100" t="n">
        <v>86250</v>
      </c>
      <c r="I17" s="101">
        <f>H17*1.03</f>
        <v/>
      </c>
      <c r="J17" s="101">
        <f>I17*1.03</f>
        <v/>
      </c>
      <c r="K17" s="101">
        <f>J17*1.03</f>
        <v/>
      </c>
      <c r="L17" s="101">
        <f>SUM(G17:K17)</f>
        <v/>
      </c>
      <c r="M17" s="102" t="inlineStr">
        <is>
          <t>1 FTE always · $75K×1.15 · +3%/yr from Y3</t>
        </is>
      </c>
    </row>
    <row r="18" ht="15" customHeight="1" s="63">
      <c r="A18" s="103" t="inlineStr">
        <is>
          <t>TOTAL HEADCOUNT COSTS</t>
        </is>
      </c>
      <c r="B18" s="104" t="n">
        <v>0</v>
      </c>
      <c r="C18" s="105">
        <f>SUM(C14:C17)</f>
        <v/>
      </c>
      <c r="D18" s="105">
        <f>SUM(D14:D17)</f>
        <v/>
      </c>
      <c r="E18" s="105">
        <f>SUM(E14:E17)</f>
        <v/>
      </c>
      <c r="F18" s="105">
        <f>SUM(F14:F17)</f>
        <v/>
      </c>
      <c r="G18" s="105">
        <f>SUM(G14:G17)</f>
        <v/>
      </c>
      <c r="H18" s="105">
        <f>SUM(H14:H17)</f>
        <v/>
      </c>
      <c r="I18" s="105">
        <f>SUM(I14:I17)</f>
        <v/>
      </c>
      <c r="J18" s="105">
        <f>SUM(J14:J17)</f>
        <v/>
      </c>
      <c r="K18" s="105">
        <f>SUM(K14:K17)</f>
        <v/>
      </c>
      <c r="L18" s="105">
        <f>SUM(L14:L17)</f>
        <v/>
      </c>
      <c r="M18" s="106" t="n"/>
    </row>
    <row r="20" ht="15" customHeight="1" s="63">
      <c r="A20" s="71" t="inlineStr">
        <is>
          <t>DIRECT COSTS — FACILITIES (ACTUAL lease-based — SAME as BASE)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</row>
    <row r="21" ht="19.4" customHeight="1" s="63">
      <c r="A21" s="98" t="inlineStr">
        <is>
          <t xml:space="preserve">    Base Rent</t>
        </is>
      </c>
      <c r="B21" s="99" t="n">
        <v>0</v>
      </c>
      <c r="C21" s="100" t="n">
        <v>0</v>
      </c>
      <c r="D21" s="100" t="n">
        <v>0</v>
      </c>
      <c r="E21" s="100" t="n">
        <v>155204</v>
      </c>
      <c r="F21" s="100" t="n">
        <v>155204</v>
      </c>
      <c r="G21" s="101">
        <f>SUM(C21:F21)</f>
        <v/>
      </c>
      <c r="H21" s="100" t="n">
        <v>639440</v>
      </c>
      <c r="I21" s="101">
        <f>H21*1.03</f>
        <v/>
      </c>
      <c r="J21" s="101">
        <f>I21*1.03</f>
        <v/>
      </c>
      <c r="K21" s="101">
        <f>J21*1.03</f>
        <v/>
      </c>
      <c r="L21" s="101">
        <f>SUM(G21:K21)</f>
        <v/>
      </c>
      <c r="M21" s="102" t="inlineStr">
        <is>
          <t>Y1: 50% abated (Q1+Q2=$0) · Y2: full rent $620,816×1.03 · +3%/yr</t>
        </is>
      </c>
    </row>
    <row r="22" ht="19.4" customHeight="1" s="63">
      <c r="A22" s="98" t="inlineStr">
        <is>
          <t xml:space="preserve">    OPEX (tax/admin/mgmt/municipal)</t>
        </is>
      </c>
      <c r="B22" s="99" t="n">
        <v>0</v>
      </c>
      <c r="C22" s="100" t="n">
        <v>23230</v>
      </c>
      <c r="D22" s="100" t="n">
        <v>23230</v>
      </c>
      <c r="E22" s="100" t="n">
        <v>23230</v>
      </c>
      <c r="F22" s="100" t="n">
        <v>23230</v>
      </c>
      <c r="G22" s="101">
        <f>SUM(C22:F22)</f>
        <v/>
      </c>
      <c r="H22" s="100" t="n">
        <v>191415</v>
      </c>
      <c r="I22" s="101">
        <f>H22*1.03</f>
        <v/>
      </c>
      <c r="J22" s="101">
        <f>I22*1.03</f>
        <v/>
      </c>
      <c r="K22" s="101">
        <f>J22*1.03</f>
        <v/>
      </c>
      <c r="L22" s="101">
        <f>SUM(G22:K22)</f>
        <v/>
      </c>
      <c r="M22" s="102" t="inlineStr">
        <is>
          <t>Y1 partial · Y2: $185,840×1.03 · 3% cap per lease</t>
        </is>
      </c>
    </row>
    <row r="23" ht="15" customHeight="1" s="63">
      <c r="A23" s="98" t="inlineStr">
        <is>
          <t xml:space="preserve">    Parking</t>
        </is>
      </c>
      <c r="B23" s="99" t="n">
        <v>0</v>
      </c>
      <c r="C23" s="100" t="n">
        <v>24000</v>
      </c>
      <c r="D23" s="100" t="n">
        <v>24000</v>
      </c>
      <c r="E23" s="100" t="n">
        <v>24000</v>
      </c>
      <c r="F23" s="100" t="n">
        <v>24000</v>
      </c>
      <c r="G23" s="101">
        <f>SUM(C23:F23)</f>
        <v/>
      </c>
      <c r="H23" s="100" t="n">
        <v>98880</v>
      </c>
      <c r="I23" s="101">
        <f>H23*1.03</f>
        <v/>
      </c>
      <c r="J23" s="101">
        <f>I23*1.03</f>
        <v/>
      </c>
      <c r="K23" s="101">
        <f>J23*1.03</f>
        <v/>
      </c>
      <c r="L23" s="101">
        <f>SUM(G23:K23)</f>
        <v/>
      </c>
      <c r="M23" s="102" t="inlineStr">
        <is>
          <t>$96,000 base · +3%/yr from Y2</t>
        </is>
      </c>
    </row>
    <row r="24" ht="19.4" customHeight="1" s="63">
      <c r="A24" s="98" t="inlineStr">
        <is>
          <t xml:space="preserve">    Utilities</t>
        </is>
      </c>
      <c r="B24" s="99" t="n">
        <v>0</v>
      </c>
      <c r="C24" s="100" t="n">
        <v>2315</v>
      </c>
      <c r="D24" s="100" t="n">
        <v>2315</v>
      </c>
      <c r="E24" s="100" t="n">
        <v>2315</v>
      </c>
      <c r="F24" s="100" t="n">
        <v>2314</v>
      </c>
      <c r="G24" s="101">
        <f>SUM(C24:F24)</f>
        <v/>
      </c>
      <c r="H24" s="100" t="n">
        <v>51500</v>
      </c>
      <c r="I24" s="101">
        <f>H24*1.03</f>
        <v/>
      </c>
      <c r="J24" s="101">
        <f>I24*1.03</f>
        <v/>
      </c>
      <c r="K24" s="101">
        <f>J24*1.03</f>
        <v/>
      </c>
      <c r="L24" s="101">
        <f>SUM(G24:K24)</f>
        <v/>
      </c>
      <c r="M24" s="102" t="inlineStr">
        <is>
          <t>Y1 partial · Y2: $50,000×1.03 · confirm with facilities</t>
        </is>
      </c>
    </row>
    <row r="25" ht="15" customHeight="1" s="63">
      <c r="A25" s="98" t="inlineStr">
        <is>
          <t xml:space="preserve">    Cleaning + IT/Networking</t>
        </is>
      </c>
      <c r="B25" s="99" t="n">
        <v>0</v>
      </c>
      <c r="C25" s="100" t="n">
        <v>21553</v>
      </c>
      <c r="D25" s="100" t="n">
        <v>21553</v>
      </c>
      <c r="E25" s="100" t="n">
        <v>21553</v>
      </c>
      <c r="F25" s="100" t="n">
        <v>21554</v>
      </c>
      <c r="G25" s="101">
        <f>SUM(C25:F25)</f>
        <v/>
      </c>
      <c r="H25" s="100" t="n">
        <v>247385</v>
      </c>
      <c r="I25" s="101">
        <f>H25*1.03</f>
        <v/>
      </c>
      <c r="J25" s="101">
        <f>I25*1.03</f>
        <v/>
      </c>
      <c r="K25" s="101">
        <f>J25*1.03</f>
        <v/>
      </c>
      <c r="L25" s="101">
        <f>SUM(G25:K25)</f>
        <v/>
      </c>
      <c r="M25" s="102" t="inlineStr">
        <is>
          <t>$240,180 base · +3%/yr from Y2</t>
        </is>
      </c>
    </row>
    <row r="26" ht="15" customHeight="1" s="63">
      <c r="A26" s="98" t="inlineStr">
        <is>
          <t xml:space="preserve">    Security Guards</t>
        </is>
      </c>
      <c r="B26" s="99" t="n">
        <v>0</v>
      </c>
      <c r="C26" s="100" t="n">
        <v>24579</v>
      </c>
      <c r="D26" s="100" t="n">
        <v>24579</v>
      </c>
      <c r="E26" s="100" t="n">
        <v>24579</v>
      </c>
      <c r="F26" s="100" t="n">
        <v>24578</v>
      </c>
      <c r="G26" s="101">
        <f>SUM(C26:F26)</f>
        <v/>
      </c>
      <c r="H26" s="100" t="n">
        <v>101264</v>
      </c>
      <c r="I26" s="101">
        <f>H26*1.03</f>
        <v/>
      </c>
      <c r="J26" s="101">
        <f>I26*1.03</f>
        <v/>
      </c>
      <c r="K26" s="101">
        <f>J26*1.03</f>
        <v/>
      </c>
      <c r="L26" s="101">
        <f>SUM(G26:K26)</f>
        <v/>
      </c>
      <c r="M26" s="102" t="inlineStr">
        <is>
          <t>$98,315 base · +3%/yr from Y2</t>
        </is>
      </c>
    </row>
    <row r="27" ht="19.4" customHeight="1" s="63">
      <c r="A27" s="98" t="inlineStr">
        <is>
          <t xml:space="preserve">    Depreciation &amp; Amortization (D&amp;A)</t>
        </is>
      </c>
      <c r="B27" s="99" t="n">
        <v>0</v>
      </c>
      <c r="C27" s="100" t="n">
        <v>77191</v>
      </c>
      <c r="D27" s="100" t="n">
        <v>77191</v>
      </c>
      <c r="E27" s="100" t="n">
        <v>77191</v>
      </c>
      <c r="F27" s="100" t="n">
        <v>77190</v>
      </c>
      <c r="G27" s="101">
        <f>SUM(C27:F27)</f>
        <v/>
      </c>
      <c r="H27" s="100" t="n">
        <v>308763</v>
      </c>
      <c r="I27" s="101">
        <f>H27</f>
        <v/>
      </c>
      <c r="J27" s="101">
        <f>I27</f>
        <v/>
      </c>
      <c r="K27" s="101">
        <f>J27</f>
        <v/>
      </c>
      <c r="L27" s="101">
        <f>SUM(G27:K27)</f>
        <v/>
      </c>
      <c r="M27" s="102" t="inlineStr">
        <is>
          <t>$1,852,581÷6 yrs=$308,763/yr (non-cash, fixed schedule)</t>
        </is>
      </c>
    </row>
    <row r="28" ht="15" customHeight="1" s="63">
      <c r="A28" s="103" t="inlineStr">
        <is>
          <t>TOTAL FACILITY COSTS</t>
        </is>
      </c>
      <c r="B28" s="104" t="n">
        <v>0</v>
      </c>
      <c r="C28" s="105">
        <f>SUM(C21:C27)</f>
        <v/>
      </c>
      <c r="D28" s="105">
        <f>SUM(D21:D27)</f>
        <v/>
      </c>
      <c r="E28" s="105">
        <f>SUM(E21:E27)</f>
        <v/>
      </c>
      <c r="F28" s="105">
        <f>SUM(F21:F27)</f>
        <v/>
      </c>
      <c r="G28" s="105">
        <f>SUM(G21:G27)</f>
        <v/>
      </c>
      <c r="H28" s="105">
        <f>SUM(H21:H27)</f>
        <v/>
      </c>
      <c r="I28" s="105">
        <f>SUM(I21:I27)</f>
        <v/>
      </c>
      <c r="J28" s="105">
        <f>SUM(J21:J27)</f>
        <v/>
      </c>
      <c r="K28" s="105">
        <f>SUM(K21:K27)</f>
        <v/>
      </c>
      <c r="L28" s="105">
        <f>SUM(L21:L27)</f>
        <v/>
      </c>
      <c r="M28" s="106" t="n"/>
    </row>
    <row r="30" ht="15" customHeight="1" s="63">
      <c r="A30" s="71" t="inlineStr">
        <is>
          <t>DIRECT COSTS — PROGRAMS, TIMEBACK &amp; EXTENDED</t>
        </is>
      </c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</row>
    <row r="31" ht="19.4" customHeight="1" s="63">
      <c r="A31" s="98" t="inlineStr">
        <is>
          <t xml:space="preserve">    Core Programs</t>
        </is>
      </c>
      <c r="B31" s="99" t="n">
        <v>0</v>
      </c>
      <c r="C31" s="100" t="n">
        <v>75000</v>
      </c>
      <c r="D31" s="100" t="n">
        <v>75000</v>
      </c>
      <c r="E31" s="100" t="n">
        <v>75000</v>
      </c>
      <c r="F31" s="100" t="n">
        <v>75000</v>
      </c>
      <c r="G31" s="101">
        <f>SUM(C31:F31)</f>
        <v/>
      </c>
      <c r="H31" s="107" t="n">
        <v>1350000</v>
      </c>
      <c r="I31" s="101">
        <f>H31*1.03</f>
        <v/>
      </c>
      <c r="J31" s="101">
        <f>I31*1.03</f>
        <v/>
      </c>
      <c r="K31" s="101">
        <f>J31*1.03</f>
        <v/>
      </c>
      <c r="L31" s="101">
        <f>SUM(G31:K31)</f>
        <v/>
      </c>
      <c r="M31" s="102" t="inlineStr">
        <is>
          <t>⚠ ~$10K/stu — CONFIRM with GM · Y2+:135 stu · +3%/yr from Y3</t>
        </is>
      </c>
    </row>
    <row r="32" ht="19.4" customHeight="1" s="63">
      <c r="A32" s="98" t="inlineStr">
        <is>
          <t xml:space="preserve">    Miscellaneous</t>
        </is>
      </c>
      <c r="B32" s="99" t="n">
        <v>0</v>
      </c>
      <c r="C32" s="100" t="n">
        <v>21875</v>
      </c>
      <c r="D32" s="100" t="n">
        <v>21875</v>
      </c>
      <c r="E32" s="100" t="n">
        <v>21875</v>
      </c>
      <c r="F32" s="100" t="n">
        <v>21875</v>
      </c>
      <c r="G32" s="101">
        <f>SUM(C32:F32)</f>
        <v/>
      </c>
      <c r="H32" s="107" t="n">
        <v>405000</v>
      </c>
      <c r="I32" s="101">
        <f>H32*1.03</f>
        <v/>
      </c>
      <c r="J32" s="101">
        <f>I32*1.03</f>
        <v/>
      </c>
      <c r="K32" s="101">
        <f>J32*1.03</f>
        <v/>
      </c>
      <c r="L32" s="101">
        <f>SUM(G32:K32)</f>
        <v/>
      </c>
      <c r="M32" s="102" t="inlineStr">
        <is>
          <t>⚠ ~$3K/stu — CONFIRM with GM · Y2+:135 stu · +3%/yr from Y3</t>
        </is>
      </c>
    </row>
    <row r="33" ht="22.35" customHeight="1" s="63">
      <c r="A33" s="98" t="inlineStr">
        <is>
          <t xml:space="preserve">    Timeback Platform Fee (20% of Core Tuition)</t>
        </is>
      </c>
      <c r="B33" s="99" t="n">
        <v>0</v>
      </c>
      <c r="C33" s="100" t="n">
        <v>81250</v>
      </c>
      <c r="D33" s="100" t="n">
        <v>81250</v>
      </c>
      <c r="E33" s="100" t="n">
        <v>81250</v>
      </c>
      <c r="F33" s="100" t="n">
        <v>81250</v>
      </c>
      <c r="G33" s="101">
        <f>SUM(C33:F33)</f>
        <v/>
      </c>
      <c r="H33" s="108">
        <f>H7*0.2</f>
        <v/>
      </c>
      <c r="I33" s="108">
        <f>I7*0.2</f>
        <v/>
      </c>
      <c r="J33" s="108">
        <f>J7*0.2</f>
        <v/>
      </c>
      <c r="K33" s="108">
        <f>K7*0.2</f>
        <v/>
      </c>
      <c r="L33" s="108">
        <f>SUM(G33:K33)</f>
        <v/>
      </c>
      <c r="M33" s="102" t="inlineStr">
        <is>
          <t>20% × Core Tuition — formula-driven all years</t>
        </is>
      </c>
    </row>
    <row r="34" ht="19.4" customHeight="1" s="63">
      <c r="A34" s="98" t="inlineStr">
        <is>
          <t xml:space="preserve">    Extended Programs Cost</t>
        </is>
      </c>
      <c r="B34" s="99" t="n">
        <v>0</v>
      </c>
      <c r="C34" s="100" t="n">
        <v>136748</v>
      </c>
      <c r="D34" s="100" t="n">
        <v>136748</v>
      </c>
      <c r="E34" s="100" t="n">
        <v>136748</v>
      </c>
      <c r="F34" s="100" t="n">
        <v>136747</v>
      </c>
      <c r="G34" s="101">
        <f>SUM(C34:F34)</f>
        <v/>
      </c>
      <c r="H34" s="107" t="n">
        <v>2500000</v>
      </c>
      <c r="I34" s="101">
        <f>H34*1.03</f>
        <v/>
      </c>
      <c r="J34" s="101">
        <f>I34*1.03</f>
        <v/>
      </c>
      <c r="K34" s="101">
        <f>J34*1.03</f>
        <v/>
      </c>
      <c r="L34" s="101">
        <f>SUM(G34:K34)</f>
        <v/>
      </c>
      <c r="M34" s="102" t="inlineStr">
        <is>
          <t>⚠ CONFIRM cost at full 135 stu from Y2 · +3%/yr from Y3</t>
        </is>
      </c>
    </row>
    <row r="35" ht="15" customHeight="1" s="63">
      <c r="A35" s="103" t="inlineStr">
        <is>
          <t>TOTAL PROGRAMS &amp; OTHER</t>
        </is>
      </c>
      <c r="B35" s="104" t="n">
        <v>0</v>
      </c>
      <c r="C35" s="105">
        <f>SUM(C31:C34)</f>
        <v/>
      </c>
      <c r="D35" s="105">
        <f>SUM(D31:D34)</f>
        <v/>
      </c>
      <c r="E35" s="105">
        <f>SUM(E31:E34)</f>
        <v/>
      </c>
      <c r="F35" s="105">
        <f>SUM(F31:F34)</f>
        <v/>
      </c>
      <c r="G35" s="105">
        <f>SUM(G31:G34)</f>
        <v/>
      </c>
      <c r="H35" s="105">
        <f>SUM(H31:H34)</f>
        <v/>
      </c>
      <c r="I35" s="105">
        <f>SUM(I31:I34)</f>
        <v/>
      </c>
      <c r="J35" s="105">
        <f>SUM(J31:J34)</f>
        <v/>
      </c>
      <c r="K35" s="105">
        <f>SUM(K31:K34)</f>
        <v/>
      </c>
      <c r="L35" s="105">
        <f>SUM(L31:L34)</f>
        <v/>
      </c>
      <c r="M35" s="106" t="n"/>
    </row>
    <row r="37" ht="15" customHeight="1" s="63">
      <c r="A37" s="103" t="inlineStr">
        <is>
          <t>TOTAL DIRECT COSTS</t>
        </is>
      </c>
      <c r="B37" s="104" t="n">
        <v>0</v>
      </c>
      <c r="C37" s="105">
        <f>C18+C28+C35</f>
        <v/>
      </c>
      <c r="D37" s="105">
        <f>D18+D28+D35</f>
        <v/>
      </c>
      <c r="E37" s="105">
        <f>E18+E28+E35</f>
        <v/>
      </c>
      <c r="F37" s="105">
        <f>F18+F28+F35</f>
        <v/>
      </c>
      <c r="G37" s="105">
        <f>G18+G28+G35</f>
        <v/>
      </c>
      <c r="H37" s="105">
        <f>H18+H28+H35</f>
        <v/>
      </c>
      <c r="I37" s="105">
        <f>I18+I28+I35</f>
        <v/>
      </c>
      <c r="J37" s="105">
        <f>J18+J28+J35</f>
        <v/>
      </c>
      <c r="K37" s="105">
        <f>K18+K28+K35</f>
        <v/>
      </c>
      <c r="L37" s="105">
        <f>L18+L28+L35</f>
        <v/>
      </c>
      <c r="M37" s="106" t="n"/>
    </row>
    <row r="39" ht="15" customHeight="1" s="63">
      <c r="A39" s="71" t="inlineStr">
        <is>
          <t>OPERATING PROFIT</t>
        </is>
      </c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</row>
    <row r="40" ht="15" customHeight="1" s="63">
      <c r="A40" s="103" t="inlineStr">
        <is>
          <t>EBIT (Operating Profit / Loss)</t>
        </is>
      </c>
      <c r="B40" s="104" t="n">
        <v>0</v>
      </c>
      <c r="C40" s="105">
        <f>C11-C37</f>
        <v/>
      </c>
      <c r="D40" s="105">
        <f>D11-D37</f>
        <v/>
      </c>
      <c r="E40" s="105">
        <f>E11-E37</f>
        <v/>
      </c>
      <c r="F40" s="105">
        <f>F11-F37</f>
        <v/>
      </c>
      <c r="G40" s="105">
        <f>G11-G37</f>
        <v/>
      </c>
      <c r="H40" s="105">
        <f>H11-H37</f>
        <v/>
      </c>
      <c r="I40" s="105">
        <f>I11-I37</f>
        <v/>
      </c>
      <c r="J40" s="105">
        <f>J11-J37</f>
        <v/>
      </c>
      <c r="K40" s="105">
        <f>K11-K37</f>
        <v/>
      </c>
      <c r="L40" s="105">
        <f>L11-L37</f>
        <v/>
      </c>
      <c r="M40" s="109" t="inlineStr">
        <is>
          <t>Revenue − Total Direct Costs</t>
        </is>
      </c>
    </row>
    <row r="41" ht="15" customHeight="1" s="63">
      <c r="A41" s="98" t="inlineStr">
        <is>
          <t xml:space="preserve">    Add back: D&amp;A (non-cash)</t>
        </is>
      </c>
      <c r="B41" s="99" t="n">
        <v>0</v>
      </c>
      <c r="C41" s="100" t="n">
        <v>77191</v>
      </c>
      <c r="D41" s="100" t="n">
        <v>77191</v>
      </c>
      <c r="E41" s="100" t="n">
        <v>77191</v>
      </c>
      <c r="F41" s="100" t="n">
        <v>77190</v>
      </c>
      <c r="G41" s="101">
        <f>SUM(C41:F41)</f>
        <v/>
      </c>
      <c r="H41" s="100" t="n">
        <v>308763</v>
      </c>
      <c r="I41" s="101">
        <f>H27</f>
        <v/>
      </c>
      <c r="J41" s="101">
        <f>I27</f>
        <v/>
      </c>
      <c r="K41" s="101">
        <f>J27</f>
        <v/>
      </c>
      <c r="L41" s="101">
        <f>SUM(G41:K41)</f>
        <v/>
      </c>
      <c r="M41" s="102" t="inlineStr">
        <is>
          <t>Non-cash — add back to get EBITDA</t>
        </is>
      </c>
    </row>
    <row r="42" ht="15" customHeight="1" s="63">
      <c r="A42" s="103" t="inlineStr">
        <is>
          <t>EBITDA</t>
        </is>
      </c>
      <c r="B42" s="104" t="n">
        <v>0</v>
      </c>
      <c r="C42" s="105">
        <f>C40+C41</f>
        <v/>
      </c>
      <c r="D42" s="105">
        <f>D40+D41</f>
        <v/>
      </c>
      <c r="E42" s="105">
        <f>E40+E41</f>
        <v/>
      </c>
      <c r="F42" s="105">
        <f>F40+F41</f>
        <v/>
      </c>
      <c r="G42" s="105">
        <f>G40+G41</f>
        <v/>
      </c>
      <c r="H42" s="105">
        <f>H40+H41</f>
        <v/>
      </c>
      <c r="I42" s="105">
        <f>I40+I41</f>
        <v/>
      </c>
      <c r="J42" s="105">
        <f>J40+J41</f>
        <v/>
      </c>
      <c r="K42" s="105">
        <f>K40+K41</f>
        <v/>
      </c>
      <c r="L42" s="105">
        <f>L40+L41</f>
        <v/>
      </c>
      <c r="M42" s="109" t="n"/>
    </row>
    <row r="44" ht="15" customHeight="1" s="63">
      <c r="A44" s="71" t="inlineStr">
        <is>
          <t>CASH FLOW</t>
        </is>
      </c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</row>
    <row r="45" ht="19.4" customHeight="1" s="63">
      <c r="A45" s="98" t="inlineStr">
        <is>
          <t xml:space="preserve">    Less: CapEx (opening investment)</t>
        </is>
      </c>
      <c r="B45" s="99" t="n">
        <v>0</v>
      </c>
      <c r="C45" s="100" t="n">
        <v>-1852581</v>
      </c>
      <c r="D45" s="100" t="n">
        <v>0</v>
      </c>
      <c r="E45" s="100" t="n">
        <v>0</v>
      </c>
      <c r="F45" s="100" t="n">
        <v>0</v>
      </c>
      <c r="G45" s="101">
        <f>SUM(C45:F45)</f>
        <v/>
      </c>
      <c r="H45" s="100" t="n">
        <v>0</v>
      </c>
      <c r="I45" s="101">
        <f>H45</f>
        <v/>
      </c>
      <c r="J45" s="101">
        <f>I45</f>
        <v/>
      </c>
      <c r="K45" s="101">
        <f>J45</f>
        <v/>
      </c>
      <c r="L45" s="101">
        <f>SUM(G45:K45)</f>
        <v/>
      </c>
      <c r="M45" s="102" t="inlineStr">
        <is>
          <t>Full $1,852,581 in Q1 opening; no additional capex Y2-Y5</t>
        </is>
      </c>
    </row>
    <row r="46" ht="15" customHeight="1" s="63">
      <c r="A46" s="103" t="inlineStr">
        <is>
          <t>NET CASH FLOW</t>
        </is>
      </c>
      <c r="B46" s="104" t="n">
        <v>0</v>
      </c>
      <c r="C46" s="105">
        <f>C42+C45</f>
        <v/>
      </c>
      <c r="D46" s="105">
        <f>D42+D45</f>
        <v/>
      </c>
      <c r="E46" s="105">
        <f>E42+E45</f>
        <v/>
      </c>
      <c r="F46" s="105">
        <f>F42+F45</f>
        <v/>
      </c>
      <c r="G46" s="105">
        <f>G42+G45</f>
        <v/>
      </c>
      <c r="H46" s="105">
        <f>H42+H45</f>
        <v/>
      </c>
      <c r="I46" s="105">
        <f>I42+I45</f>
        <v/>
      </c>
      <c r="J46" s="105">
        <f>J42+J45</f>
        <v/>
      </c>
      <c r="K46" s="105">
        <f>K42+K45</f>
        <v/>
      </c>
      <c r="L46" s="105">
        <f>L42+L45</f>
        <v/>
      </c>
      <c r="M46" s="109" t="n"/>
    </row>
    <row r="47" ht="19.4" customHeight="1" s="63">
      <c r="A47" s="98" t="inlineStr">
        <is>
          <t>Cumulative Net Cash Flow</t>
        </is>
      </c>
      <c r="B47" s="99" t="n">
        <v>0</v>
      </c>
      <c r="C47" s="101">
        <f>C46</f>
        <v/>
      </c>
      <c r="D47" s="101">
        <f>C47+D46</f>
        <v/>
      </c>
      <c r="E47" s="101">
        <f>D47+E46</f>
        <v/>
      </c>
      <c r="F47" s="101">
        <f>E47+F46</f>
        <v/>
      </c>
      <c r="G47" s="101">
        <f>G46</f>
        <v/>
      </c>
      <c r="H47" s="101">
        <f>G47+H46</f>
        <v/>
      </c>
      <c r="I47" s="101">
        <f>H47+I46</f>
        <v/>
      </c>
      <c r="J47" s="101">
        <f>I47+J46</f>
        <v/>
      </c>
      <c r="K47" s="101">
        <f>J47+K46</f>
        <v/>
      </c>
      <c r="L47" s="110" t="n"/>
      <c r="M47" s="102" t="inlineStr">
        <is>
          <t>Running total — shows payback trajectory</t>
        </is>
      </c>
    </row>
    <row r="49" ht="15" customHeight="1" s="63">
      <c r="A49" s="71" t="inlineStr">
        <is>
          <t>KEY METRICS</t>
        </is>
      </c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</row>
    <row r="50" ht="15" customHeight="1" s="63">
      <c r="A50" s="98" t="inlineStr">
        <is>
          <t>EBIT Margin %</t>
        </is>
      </c>
      <c r="B50" s="99" t="n">
        <v>0</v>
      </c>
      <c r="C50" s="111">
        <f>IFERROR(C40/C11,0)</f>
        <v/>
      </c>
      <c r="D50" s="111">
        <f>IFERROR(D40/D11,0)</f>
        <v/>
      </c>
      <c r="E50" s="111">
        <f>IFERROR(E40/E11,0)</f>
        <v/>
      </c>
      <c r="F50" s="111">
        <f>IFERROR(F40/F11,0)</f>
        <v/>
      </c>
      <c r="G50" s="111">
        <f>IFERROR(G40/G11,0)</f>
        <v/>
      </c>
      <c r="H50" s="111">
        <f>IFERROR(H40/H11,0)</f>
        <v/>
      </c>
      <c r="I50" s="111">
        <f>IFERROR(I40/I11,0)</f>
        <v/>
      </c>
      <c r="J50" s="111">
        <f>IFERROR(J40/J11,0)</f>
        <v/>
      </c>
      <c r="K50" s="111">
        <f>IFERROR(K40/K11,0)</f>
        <v/>
      </c>
      <c r="L50" s="111">
        <f>IFERROR(L40/L11,0)</f>
        <v/>
      </c>
      <c r="M50" s="102" t="inlineStr">
        <is>
          <t>EBIT ÷ Revenue</t>
        </is>
      </c>
    </row>
    <row r="51" ht="15" customHeight="1" s="63">
      <c r="A51" s="98" t="inlineStr">
        <is>
          <t>EBITDA Margin %</t>
        </is>
      </c>
      <c r="B51" s="99" t="n">
        <v>0</v>
      </c>
      <c r="C51" s="111">
        <f>IFERROR(C42/C11,0)</f>
        <v/>
      </c>
      <c r="D51" s="111">
        <f>IFERROR(D42/D11,0)</f>
        <v/>
      </c>
      <c r="E51" s="111">
        <f>IFERROR(E42/E11,0)</f>
        <v/>
      </c>
      <c r="F51" s="111">
        <f>IFERROR(F42/F11,0)</f>
        <v/>
      </c>
      <c r="G51" s="111">
        <f>IFERROR(G42/G11,0)</f>
        <v/>
      </c>
      <c r="H51" s="111">
        <f>IFERROR(H42/H11,0)</f>
        <v/>
      </c>
      <c r="I51" s="111">
        <f>IFERROR(I42/I11,0)</f>
        <v/>
      </c>
      <c r="J51" s="111">
        <f>IFERROR(J42/J11,0)</f>
        <v/>
      </c>
      <c r="K51" s="111">
        <f>IFERROR(K42/K11,0)</f>
        <v/>
      </c>
      <c r="L51" s="111">
        <f>IFERROR(L42/L11,0)</f>
        <v/>
      </c>
      <c r="M51" s="102" t="inlineStr">
        <is>
          <t>EBITDA ÷ Revenue</t>
        </is>
      </c>
    </row>
    <row r="52" ht="15" customHeight="1" s="63">
      <c r="A52" s="98" t="inlineStr">
        <is>
          <t>Revenue per Student</t>
        </is>
      </c>
      <c r="B52" s="99" t="n">
        <v>0</v>
      </c>
      <c r="C52" s="101">
        <f>IFERROR(C11/25,0)</f>
        <v/>
      </c>
      <c r="D52" s="101">
        <f>IFERROR(D11/25,0)</f>
        <v/>
      </c>
      <c r="E52" s="101">
        <f>IFERROR(E11/25,0)</f>
        <v/>
      </c>
      <c r="F52" s="101">
        <f>IFERROR(F11/25,0)</f>
        <v/>
      </c>
      <c r="G52" s="101">
        <f>IFERROR(G11/25,0)</f>
        <v/>
      </c>
      <c r="H52" s="101">
        <f>IFERROR(H11/H4,0)</f>
        <v/>
      </c>
      <c r="I52" s="101">
        <f>IFERROR(I11/I4,0)</f>
        <v/>
      </c>
      <c r="J52" s="101">
        <f>IFERROR(J11/J4,0)</f>
        <v/>
      </c>
      <c r="K52" s="101">
        <f>IFERROR(K11/K4,0)</f>
        <v/>
      </c>
      <c r="L52" s="110" t="n"/>
      <c r="M52" s="102" t="inlineStr">
        <is>
          <t>Revenue ÷ enrolled students</t>
        </is>
      </c>
    </row>
    <row r="54" ht="21.75" customHeight="1" s="63">
      <c r="A54" s="117" t="inlineStr">
        <is>
          <t>⚠  STRETCH: Full capacity (135 stu) achieved in Y2 — no enrollment ramp · HoS hired Y2 (135 ≥ 100 threshold) · Full HC complement from Y2 · Fires ONLY when a named lever performs above Base plan — confirm trigger with GM</t>
        </is>
      </c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</row>
  </sheetData>
  <mergeCells count="10">
    <mergeCell ref="A13:M13"/>
    <mergeCell ref="A44:M44"/>
    <mergeCell ref="A1:M1"/>
    <mergeCell ref="A6:M6"/>
    <mergeCell ref="A30:M30"/>
    <mergeCell ref="A39:M39"/>
    <mergeCell ref="A2:M2"/>
    <mergeCell ref="A20:M20"/>
    <mergeCell ref="A54:M54"/>
    <mergeCell ref="A49:M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62" min="1" max="1"/>
    <col width="14" customWidth="1" style="62" min="2" max="7"/>
  </cols>
  <sheetData>
    <row r="1" ht="15" customHeight="1" s="63">
      <c r="A1" s="118" t="inlineStr">
        <is>
          <t>Alpha Kirkland — Headcount Plan (shared across Base and Scenario, Year 1)</t>
        </is>
      </c>
      <c r="B1" s="65" t="n"/>
      <c r="C1" s="65" t="n"/>
      <c r="D1" s="65" t="n"/>
      <c r="E1" s="65" t="n"/>
      <c r="F1" s="65" t="n"/>
      <c r="G1" s="65" t="n"/>
    </row>
    <row r="2" ht="27.75" customHeight="1" s="63">
      <c r="A2" s="119" t="inlineStr">
        <is>
          <t>Role</t>
        </is>
      </c>
      <c r="B2" s="119" t="inlineStr">
        <is>
          <t>Y1 Base
(25 stu)</t>
        </is>
      </c>
      <c r="C2" s="119" t="inlineStr">
        <is>
          <t>Y1 Scenario
(20 stu)</t>
        </is>
      </c>
      <c r="D2" s="119" t="inlineStr">
        <is>
          <t>Y2+
(135 stu)</t>
        </is>
      </c>
      <c r="E2" s="119" t="inlineStr">
        <is>
          <t>Salary</t>
        </is>
      </c>
      <c r="F2" s="119" t="inlineStr">
        <is>
          <t>Loaded Cost
(×1.15)</t>
        </is>
      </c>
      <c r="G2" s="119" t="inlineStr">
        <is>
          <t>Notes</t>
        </is>
      </c>
    </row>
    <row r="3" ht="15" customHeight="1" s="63">
      <c r="A3" s="98" t="inlineStr">
        <is>
          <t>Lead Guide</t>
        </is>
      </c>
      <c r="B3" s="120" t="n">
        <v>1</v>
      </c>
      <c r="C3" s="120" t="n">
        <v>1</v>
      </c>
      <c r="D3" s="120" t="n">
        <v>4</v>
      </c>
      <c r="E3" s="100" t="n">
        <v>200000</v>
      </c>
      <c r="F3" s="100" t="n">
        <v>230000</v>
      </c>
      <c r="G3" s="102" t="inlineStr">
        <is>
          <t>1 per school in Y1</t>
        </is>
      </c>
    </row>
    <row r="4" ht="18.75" customHeight="1" s="63">
      <c r="A4" s="98" t="inlineStr">
        <is>
          <t>Guide</t>
        </is>
      </c>
      <c r="B4" s="120" t="n">
        <v>2</v>
      </c>
      <c r="C4" s="120" t="n">
        <v>1</v>
      </c>
      <c r="D4" s="120" t="n">
        <v>8</v>
      </c>
      <c r="E4" s="100" t="n">
        <v>120000</v>
      </c>
      <c r="F4" s="100" t="n">
        <v>138000</v>
      </c>
      <c r="G4" s="102" t="inlineStr">
        <is>
          <t>2 in Y1 Base; 1 in Scenario</t>
        </is>
      </c>
    </row>
    <row r="5" ht="18.75" customHeight="1" s="63">
      <c r="A5" s="98" t="inlineStr">
        <is>
          <t>Head of School</t>
        </is>
      </c>
      <c r="B5" s="120" t="n">
        <v>0</v>
      </c>
      <c r="C5" s="120" t="n">
        <v>0</v>
      </c>
      <c r="D5" s="120" t="n">
        <v>1</v>
      </c>
      <c r="E5" s="100" t="n">
        <v>300000</v>
      </c>
      <c r="F5" s="100" t="n">
        <v>345000</v>
      </c>
      <c r="G5" s="102" t="inlineStr">
        <is>
          <t>Hired only when ≥100 students</t>
        </is>
      </c>
    </row>
    <row r="6" ht="15" customHeight="1" s="63">
      <c r="A6" s="98" t="inlineStr">
        <is>
          <t>Campus Admin</t>
        </is>
      </c>
      <c r="B6" s="120" t="n">
        <v>1</v>
      </c>
      <c r="C6" s="120" t="n">
        <v>1</v>
      </c>
      <c r="D6" s="120" t="n">
        <v>1</v>
      </c>
      <c r="E6" s="100" t="n">
        <v>75000</v>
      </c>
      <c r="F6" s="100" t="n">
        <v>86250</v>
      </c>
      <c r="G6" s="102" t="inlineStr">
        <is>
          <t>Always 1</t>
        </is>
      </c>
    </row>
    <row r="7" ht="18.75" customHeight="1" s="63">
      <c r="A7" s="92" t="inlineStr">
        <is>
          <t>Total Educators</t>
        </is>
      </c>
      <c r="B7" s="121" t="n">
        <v>3</v>
      </c>
      <c r="C7" s="121" t="n">
        <v>2</v>
      </c>
      <c r="D7" s="121" t="n">
        <v>12</v>
      </c>
      <c r="E7" s="122" t="n"/>
      <c r="F7" s="122" t="n"/>
      <c r="G7" s="97" t="inlineStr">
        <is>
          <t>Lead Guides + Guides</t>
        </is>
      </c>
    </row>
    <row r="8" ht="18.75" customHeight="1" s="63">
      <c r="A8" s="92" t="inlineStr">
        <is>
          <t>Total Headcount</t>
        </is>
      </c>
      <c r="B8" s="121" t="n">
        <v>4</v>
      </c>
      <c r="C8" s="121" t="n">
        <v>3</v>
      </c>
      <c r="D8" s="121" t="n">
        <v>14</v>
      </c>
      <c r="E8" s="122" t="n"/>
      <c r="F8" s="122" t="n"/>
      <c r="G8" s="97" t="inlineStr">
        <is>
          <t>All roles incl. Admin + HoS</t>
        </is>
      </c>
    </row>
    <row r="9" ht="18.75" customHeight="1" s="63">
      <c r="A9" s="98" t="inlineStr">
        <is>
          <t>Student:Educator</t>
        </is>
      </c>
      <c r="B9" s="123" t="inlineStr">
        <is>
          <t>8:1</t>
        </is>
      </c>
      <c r="C9" s="123" t="inlineStr">
        <is>
          <t>10:1</t>
        </is>
      </c>
      <c r="D9" s="123" t="inlineStr">
        <is>
          <t>11:1</t>
        </is>
      </c>
      <c r="E9" s="110" t="n"/>
      <c r="F9" s="110" t="n"/>
      <c r="G9" s="102" t="inlineStr">
        <is>
          <t>Students ÷ (Lead+Guide)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2026-05-20T10:19:49Z</dcterms:created>
  <dcterms:modified xmlns:dcterms="http://purl.org/dc/terms/" xmlns:xsi="http://www.w3.org/2001/XMLSchema-instance" xsi:type="dcterms:W3CDTF">2026-05-21T10:18:31Z</dcterms:modified>
  <cp:revision>0</cp:revision>
</cp:coreProperties>
</file>