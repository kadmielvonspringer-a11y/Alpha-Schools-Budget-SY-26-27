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Model" sheetId="1" state="visible" r:id="rId3"/>
    <sheet name="Assump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<sst xmlns="http://schemas.openxmlformats.org/spreadsheetml/2006/main" count="133" uniqueCount="123">
  <si>
    <t xml:space="preserve">Alpha Schools — West Palm Beach Public School Operator Model</t>
  </si>
  <si>
    <t xml:space="preserve">Sliding scale cost model  |  3 campuses  |  Conservative buffers applied  |  For internal use — not for distribution</t>
  </si>
  <si>
    <t xml:space="preserve">Notes</t>
  </si>
  <si>
    <t xml:space="preserve">800
Students</t>
  </si>
  <si>
    <t xml:space="preserve">1,750
Students</t>
  </si>
  <si>
    <t xml:space="preserve">2,500
Students</t>
  </si>
  <si>
    <t xml:space="preserve">5,000
Students</t>
  </si>
  <si>
    <t xml:space="preserve">  BUCKET 1 — ONE-TIME / UPFRONT COSTS</t>
  </si>
  <si>
    <t xml:space="preserve">Cost Item</t>
  </si>
  <si>
    <t xml:space="preserve">Deployment team — initial Alpha guides (3 months per campus)</t>
  </si>
  <si>
    <t xml:space="preserve">3 campuses × $100K</t>
  </si>
  <si>
    <t xml:space="preserve">Tech setup, SIS integration &amp; device config</t>
  </si>
  <si>
    <t xml:space="preserve">$175K fixed + $150/student</t>
  </si>
  <si>
    <t xml:space="preserve">Staff training &amp; curriculum onboarding</t>
  </si>
  <si>
    <t xml:space="preserve">$2,500 × (students÷25) guides trained</t>
  </si>
  <si>
    <t xml:space="preserve">⚠  Device procurement (if district hardware insufficient)</t>
  </si>
  <si>
    <t xml:space="preserve">$500/student — conditional; verify district devices</t>
  </si>
  <si>
    <t xml:space="preserve">Subtotal (excl. device procurement)</t>
  </si>
  <si>
    <t xml:space="preserve">Overhead &amp; contingency buffer (20%)</t>
  </si>
  <si>
    <t xml:space="preserve">Conservative add-on</t>
  </si>
  <si>
    <t xml:space="preserve">TOTAL ONE-TIME COSTS (excl. devices)</t>
  </si>
  <si>
    <t xml:space="preserve">    Per-student one-time cost</t>
  </si>
  <si>
    <t xml:space="preserve">One-time spend per enrolled student</t>
  </si>
  <si>
    <t xml:space="preserve">  BUCKET 2 — ONGOING ANNUAL COSTS   (per school year)</t>
  </si>
  <si>
    <t xml:space="preserve">YEAR 1 — Full Alpha Carry</t>
  </si>
  <si>
    <t xml:space="preserve">Number of Alpha guides deployed</t>
  </si>
  <si>
    <t xml:space="preserve">ceil(students ÷ 25)</t>
  </si>
  <si>
    <t xml:space="preserve">Campus Directors  (3 campuses × $260K all-in)</t>
  </si>
  <si>
    <t xml:space="preserve">3 CDs fixed regardless of enrollment</t>
  </si>
  <si>
    <t xml:space="preserve">Alpha Guides  (1:25 ratio × $130K all-in)</t>
  </si>
  <si>
    <t xml:space="preserve">Staffing subtotal</t>
  </si>
  <si>
    <t xml:space="preserve">Staffing buffer (15%)</t>
  </si>
  <si>
    <t xml:space="preserve">Benefits, attrition, contingency</t>
  </si>
  <si>
    <t xml:space="preserve">Timeback license  ($5,000/student/yr)</t>
  </si>
  <si>
    <t xml:space="preserve">Motivation budget  ($800/student/yr — Access Model rate)</t>
  </si>
  <si>
    <t xml:space="preserve">TOTAL YEAR 1 ONGOING (annual)</t>
  </si>
  <si>
    <t xml:space="preserve">    Per-student Year 1</t>
  </si>
  <si>
    <t xml:space="preserve">YEAR 2 — 50% Guide Transition to District Payroll</t>
  </si>
  <si>
    <t xml:space="preserve">Campus Directors  (unchanged — Alpha retains)</t>
  </si>
  <si>
    <t xml:space="preserve">Alpha Guides  (50% remaining — district absorbs other 50%)</t>
  </si>
  <si>
    <t xml:space="preserve">Timeback license</t>
  </si>
  <si>
    <t xml:space="preserve">Motivation budget</t>
  </si>
  <si>
    <t xml:space="preserve">TOTAL YEAR 2 ONGOING (annual)</t>
  </si>
  <si>
    <t xml:space="preserve">    Per-student Year 2</t>
  </si>
  <si>
    <t xml:space="preserve">YEAR 3 — District Carries Teaching Staff  |  Alpha: CDs + Coordinators + Platform</t>
  </si>
  <si>
    <t xml:space="preserve">Campus Directors  (3 × $260K — Alpha retains)</t>
  </si>
  <si>
    <t xml:space="preserve">Campus Coordinators  (3 × $150K — 1 per campus, Y3+)</t>
  </si>
  <si>
    <t xml:space="preserve">Manages district-converted staff; Alpha's ongoing oversight layer</t>
  </si>
  <si>
    <t xml:space="preserve">TOTAL YEAR 3 ONGOING (annual)</t>
  </si>
  <si>
    <t xml:space="preserve">    Per-student Year 3</t>
  </si>
  <si>
    <t xml:space="preserve">  SUMMARY — PER-STUDENT COST  (ongoing, annual)</t>
  </si>
  <si>
    <t xml:space="preserve">Cost per Student by Year</t>
  </si>
  <si>
    <t xml:space="preserve">Year 1 per student</t>
  </si>
  <si>
    <t xml:space="preserve">Year 2 per student</t>
  </si>
  <si>
    <t xml:space="preserve">Year 3 per student  ← lead with this</t>
  </si>
  <si>
    <t xml:space="preserve">Benchmarks</t>
  </si>
  <si>
    <t xml:space="preserve">FL per-pupil funding (FEFP base only)</t>
  </si>
  <si>
    <t xml:space="preserve">Approx FY26 base; actual FTE confirmation needed</t>
  </si>
  <si>
    <t xml:space="preserve">Palm Beach County all-in per student (est.)</t>
  </si>
  <si>
    <t xml:space="preserve">$12K–$14K range per WPB Ops Blueprint (needs district confirmation)</t>
  </si>
  <si>
    <t xml:space="preserve">HISD all-in per student (excl. facilities)</t>
  </si>
  <si>
    <t xml:space="preserve">Houston baseline from WPB Ops Blueprint</t>
  </si>
  <si>
    <t xml:space="preserve">  KEY OBSERVATIONS</t>
  </si>
  <si>
    <t xml:space="preserve">  • Timeback license ($5,000/student/yr) = largest single cost driver — 38–44% of ongoing costs at every enrollment level. Volume discount could materially change this model.</t>
  </si>
  <si>
    <t xml:space="preserve">  • Year 3 is the story: per-student drops to $7,200–$7,600 once teaching staff transitions to district payroll — well within Palm Beach County per-pupil funding.</t>
  </si>
  <si>
    <t xml:space="preserve">  • Scale effect is modest Y1→Y3 on per-student costs because Timeback dominates. CD/Coordinator costs are fixed across all enrollment levels.</t>
  </si>
  <si>
    <t xml:space="preserve">  • Device procurement is conditional — verify WPB district hardware before including in proposal. Could add $400K–$2.5M upfront depending on enrollment.</t>
  </si>
  <si>
    <t xml:space="preserve">  • ⚠  No Florida equivalent of TX SB 1882 confirmed. Do not present Year 3 model as fully funded until funding mechanism is formalized.</t>
  </si>
  <si>
    <t xml:space="preserve">Description</t>
  </si>
  <si>
    <t xml:space="preserve">Value</t>
  </si>
  <si>
    <t xml:space="preserve">Units</t>
  </si>
  <si>
    <t xml:space="preserve">Notes / Source</t>
  </si>
  <si>
    <t xml:space="preserve">STAFFING</t>
  </si>
  <si>
    <t xml:space="preserve">Number of campuses</t>
  </si>
  <si>
    <t xml:space="preserve">campuses</t>
  </si>
  <si>
    <t xml:space="preserve">WPB: 2 elementary + 1 middle school</t>
  </si>
  <si>
    <t xml:space="preserve">Guide-to-student ratio</t>
  </si>
  <si>
    <t xml:space="preserve">students/guide</t>
  </si>
  <si>
    <t xml:space="preserve">1:25 per Alpha Access Model standard</t>
  </si>
  <si>
    <t xml:space="preserve">Campus Director — all-in cost</t>
  </si>
  <si>
    <t xml:space="preserve">$/yr</t>
  </si>
  <si>
    <t xml:space="preserve">Source: WPB Ops Blueprint (HISD mirror) — $200K base → $260K all-in</t>
  </si>
  <si>
    <t xml:space="preserve">Guide — all-in cost</t>
  </si>
  <si>
    <t xml:space="preserve">Source: WPB Ops Blueprint — $100K base → $130K all-in</t>
  </si>
  <si>
    <t xml:space="preserve">Campus Coordinator — all-in</t>
  </si>
  <si>
    <t xml:space="preserve">Y3+ only — supervises district-converted teachers on Alpha's behalf</t>
  </si>
  <si>
    <t xml:space="preserve">Staffing conservative buffer</t>
  </si>
  <si>
    <t xml:space="preserve">15%</t>
  </si>
  <si>
    <t xml:space="preserve">Add-on to all staffing costs for benefits, attrition, contingency</t>
  </si>
  <si>
    <t xml:space="preserve">PLATFORM &amp; PROGRAMS</t>
  </si>
  <si>
    <t xml:space="preserve">Timeback license (per student/yr)</t>
  </si>
  <si>
    <t xml:space="preserve">$/student/yr</t>
  </si>
  <si>
    <t xml:space="preserve">Flat rate; volume discount TBD — not reflected here. Source: WPB Ops Blueprint</t>
  </si>
  <si>
    <t xml:space="preserve">Motivation budget (per student/yr)</t>
  </si>
  <si>
    <t xml:space="preserve">Access Model confirmed rate (May 20 call). vs. $3,500–$13,500 for private Alpha</t>
  </si>
  <si>
    <t xml:space="preserve">ONE-TIME / UPFRONT COSTS</t>
  </si>
  <si>
    <t xml:space="preserve">Deployment team per campus (3-mo Alpha staff)</t>
  </si>
  <si>
    <t xml:space="preserve">$/campus</t>
  </si>
  <si>
    <t xml:space="preserve">Alpha guides deployed to train existing district teachers. ~3-month engagement per campus</t>
  </si>
  <si>
    <t xml:space="preserve">Tech setup &amp; SIS integration (fixed)</t>
  </si>
  <si>
    <t xml:space="preserve">$ fixed</t>
  </si>
  <si>
    <t xml:space="preserve">One-time: SIS sync, device config, IT admin, platform onboarding. Independent of enrollment</t>
  </si>
  <si>
    <t xml:space="preserve">Tech setup per student (variable)</t>
  </si>
  <si>
    <t xml:space="preserve">$/student</t>
  </si>
  <si>
    <t xml:space="preserve">Device configuration, account provisioning, testing</t>
  </si>
  <si>
    <t xml:space="preserve">Training &amp; onboarding per guide-equivalent</t>
  </si>
  <si>
    <t xml:space="preserve">$/guide trained</t>
  </si>
  <si>
    <t xml:space="preserve">Curriculum training, Timeback certification, onboarding workshop per staff member retrained</t>
  </si>
  <si>
    <t xml:space="preserve">Device procurement — per student (conditional)</t>
  </si>
  <si>
    <t xml:space="preserve">⚠️ Only if district hardware insufficient. Verify before including in final proposal</t>
  </si>
  <si>
    <t xml:space="preserve">One-time overhead &amp; contingency buffer</t>
  </si>
  <si>
    <t xml:space="preserve">20%</t>
  </si>
  <si>
    <t xml:space="preserve">Conservative buffer on all one-time costs. Recommend keeping in proposal</t>
  </si>
  <si>
    <t xml:space="preserve">STAFFING RAMP SCHEDULE</t>
  </si>
  <si>
    <t xml:space="preserve">Year 1 — Alpha guide coverage</t>
  </si>
  <si>
    <t xml:space="preserve">100%</t>
  </si>
  <si>
    <t xml:space="preserve">Alpha carries all guides across all 3 campuses; coaches district staff up</t>
  </si>
  <si>
    <t xml:space="preserve">Year 2 — District absorbs guides</t>
  </si>
  <si>
    <t xml:space="preserve">50%</t>
  </si>
  <si>
    <t xml:space="preserve">50% of Alpha guides convert to district payroll per campus</t>
  </si>
  <si>
    <t xml:space="preserve">Year 3 — District carries teachers</t>
  </si>
  <si>
    <t xml:space="preserve">0%</t>
  </si>
  <si>
    <t xml:space="preserve">All teaching staff on district payroll. Alpha retains CDs + Campus Coordinators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</si>
</sst>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$#,##0;&quot;($&quot;#,##0\);\-"/>
    <numFmt numFmtId="167" formatCode="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70C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F5496"/>
      <name val="Arial"/>
      <family val="0"/>
      <charset val="1"/>
    </font>
    <font>
      <sz val="10"/>
      <color rgb="FF1F1F1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497D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sz val="9"/>
      <color rgb="FF1F1F1F"/>
      <name val="Arial"/>
      <family val="0"/>
      <charset val="1"/>
    </font>
    <font>
      <sz val="10"/>
      <color rgb="FF595959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F5496"/>
        <bgColor rgb="FF1F497D"/>
      </patternFill>
    </fill>
    <fill>
      <patternFill patternType="solid">
        <fgColor rgb="FFF2F2F2"/>
        <bgColor rgb="FFEBF2FA"/>
      </patternFill>
    </fill>
    <fill>
      <patternFill patternType="solid">
        <fgColor rgb="FFFFFFFF"/>
        <bgColor rgb="FFF2F2F2"/>
      </patternFill>
    </fill>
    <fill>
      <patternFill patternType="solid">
        <fgColor rgb="FFD9E4F0"/>
        <bgColor rgb="FFD9D9D9"/>
      </patternFill>
    </fill>
    <fill>
      <patternFill patternType="solid">
        <fgColor rgb="FFEBF2FA"/>
        <bgColor rgb="FFF2F2F2"/>
      </patternFill>
    </fill>
    <fill>
      <patternFill patternType="solid">
        <fgColor rgb="FFFFFCC7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E2EFDA"/>
        <bgColor rgb="FFEBF2FA"/>
      </patternFill>
    </fill>
    <fill>
      <patternFill patternType="solid">
        <fgColor rgb="FF1F497D"/>
        <bgColor rgb="FF2F5496"/>
      </patternFill>
    </fill>
    <fill>
      <patternFill patternType="solid">
        <fgColor rgb="FF595959"/>
        <bgColor rgb="FF375623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/>
      <top style="thin">
        <color rgb="FF888888"/>
      </top>
      <bottom style="thin">
        <color rgb="FF888888"/>
      </bottom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/>
      <right/>
      <top/>
      <bottom style="thin">
        <color rgb="FFC5C5C5"/>
      </bottom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5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2" fillId="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6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5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2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4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5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2" fillId="7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7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5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6" fontId="15" fillId="6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5" borderId="5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2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8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5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2" fillId="3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3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5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6" fontId="15" fillId="4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9" borderId="5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2" fillId="9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9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6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8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6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1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C5C5"/>
      <rgbColor rgb="FF888888"/>
      <rgbColor rgb="FF9999FF"/>
      <rgbColor rgb="FF993366"/>
      <rgbColor rgb="FFFFFCC7"/>
      <rgbColor rgb="FFEBF2FA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4F0"/>
      <rgbColor rgb="FFE2EFDA"/>
      <rgbColor rgb="FFF2F2F2"/>
      <rgbColor rgb="FF99CCFF"/>
      <rgbColor rgb="FFFF99CC"/>
      <rgbColor rgb="FFCC99FF"/>
      <rgbColor rgb="FFFCE4D6"/>
      <rgbColor rgb="FF2F5496"/>
      <rgbColor rgb="FF33CCCC"/>
      <rgbColor rgb="FF99CC00"/>
      <rgbColor rgb="FFFFCC00"/>
      <rgbColor rgb="FFFF9900"/>
      <rgbColor rgb="FFC55A11"/>
      <rgbColor rgb="FF595959"/>
      <rgbColor rgb="FFAAAAAA"/>
      <rgbColor rgb="FF003366"/>
      <rgbColor rgb="FF339966"/>
      <rgbColor rgb="FF003300"/>
      <rgbColor rgb="FF375623"/>
      <rgbColor rgb="FF993300"/>
      <rgbColor rgb="FF993366"/>
      <rgbColor rgb="FF1F497D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G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2"/>
    <col collapsed="false" customWidth="true" hidden="false" outlineLevel="0" max="7" min="4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3"/>
      <c r="B3" s="4" t="s">
        <v>2</v>
      </c>
      <c r="C3" s="3"/>
      <c r="D3" s="5" t="s">
        <v>3</v>
      </c>
      <c r="E3" s="5" t="s">
        <v>4</v>
      </c>
      <c r="F3" s="5" t="s">
        <v>5</v>
      </c>
      <c r="G3" s="5" t="s">
        <v>6</v>
      </c>
    </row>
    <row r="4" customFormat="false" ht="15" hidden="false" customHeight="true" outlineLevel="0" collapsed="false">
      <c r="D4" s="6" t="n">
        <v>800</v>
      </c>
      <c r="E4" s="6" t="n">
        <v>1750</v>
      </c>
      <c r="F4" s="6" t="n">
        <v>2500</v>
      </c>
      <c r="G4" s="6" t="n">
        <v>5000</v>
      </c>
    </row>
    <row r="5" customFormat="false" ht="21.75" hidden="false" customHeight="true" outlineLevel="0" collapsed="false">
      <c r="A5" s="7" t="s">
        <v>7</v>
      </c>
      <c r="B5" s="7"/>
      <c r="C5" s="7"/>
      <c r="D5" s="7"/>
      <c r="E5" s="7"/>
      <c r="F5" s="7"/>
      <c r="G5" s="7"/>
    </row>
    <row r="6" customFormat="false" ht="3.75" hidden="false" customHeight="true" outlineLevel="0" collapsed="false">
      <c r="A6" s="8"/>
      <c r="B6" s="8"/>
      <c r="C6" s="8"/>
      <c r="D6" s="8"/>
      <c r="E6" s="8"/>
      <c r="F6" s="8"/>
      <c r="G6" s="8"/>
    </row>
    <row r="7" customFormat="false" ht="18" hidden="false" customHeight="true" outlineLevel="0" collapsed="false">
      <c r="A7" s="9" t="s">
        <v>8</v>
      </c>
      <c r="B7" s="9"/>
      <c r="C7" s="10"/>
      <c r="D7" s="11"/>
      <c r="E7" s="11"/>
      <c r="F7" s="11"/>
      <c r="G7" s="11"/>
    </row>
    <row r="8" customFormat="false" ht="15" hidden="false" customHeight="true" outlineLevel="0" collapsed="false">
      <c r="A8" s="12" t="s">
        <v>9</v>
      </c>
      <c r="B8" s="13" t="s">
        <v>10</v>
      </c>
      <c r="C8" s="8"/>
      <c r="D8" s="14" t="n">
        <f aca="false">Assumptions!$B$3*Assumptions!$B$13</f>
        <v>300000</v>
      </c>
      <c r="E8" s="14" t="n">
        <f aca="false">Assumptions!$B$3*Assumptions!$B$13</f>
        <v>300000</v>
      </c>
      <c r="F8" s="14" t="n">
        <f aca="false">Assumptions!$B$3*Assumptions!$B$13</f>
        <v>300000</v>
      </c>
      <c r="G8" s="14" t="n">
        <f aca="false">Assumptions!$B$3*Assumptions!$B$13</f>
        <v>300000</v>
      </c>
    </row>
    <row r="9" customFormat="false" ht="15" hidden="false" customHeight="true" outlineLevel="0" collapsed="false">
      <c r="A9" s="15" t="s">
        <v>11</v>
      </c>
      <c r="B9" s="16" t="s">
        <v>12</v>
      </c>
      <c r="C9" s="8"/>
      <c r="D9" s="17" t="n">
        <f aca="false">Assumptions!$B$14+D$4*Assumptions!$B$15</f>
        <v>295000</v>
      </c>
      <c r="E9" s="17" t="n">
        <f aca="false">Assumptions!$B$14+E$4*Assumptions!$B$15</f>
        <v>437500</v>
      </c>
      <c r="F9" s="17" t="n">
        <f aca="false">Assumptions!$B$14+F$4*Assumptions!$B$15</f>
        <v>550000</v>
      </c>
      <c r="G9" s="17" t="n">
        <f aca="false">Assumptions!$B$14+G$4*Assumptions!$B$15</f>
        <v>925000</v>
      </c>
    </row>
    <row r="10" customFormat="false" ht="15" hidden="false" customHeight="true" outlineLevel="0" collapsed="false">
      <c r="A10" s="12" t="s">
        <v>13</v>
      </c>
      <c r="B10" s="13" t="s">
        <v>14</v>
      </c>
      <c r="C10" s="8"/>
      <c r="D10" s="14" t="n">
        <f aca="false">CEILING(D$4/Assumptions!$B$4,1)*Assumptions!$B$16</f>
        <v>80000</v>
      </c>
      <c r="E10" s="14" t="n">
        <f aca="false">CEILING(E$4/Assumptions!$B$4,1)*Assumptions!$B$16</f>
        <v>175000</v>
      </c>
      <c r="F10" s="14" t="n">
        <f aca="false">CEILING(F$4/Assumptions!$B$4,1)*Assumptions!$B$16</f>
        <v>250000</v>
      </c>
      <c r="G10" s="14" t="n">
        <f aca="false">CEILING(G$4/Assumptions!$B$4,1)*Assumptions!$B$16</f>
        <v>500000</v>
      </c>
    </row>
    <row r="11" customFormat="false" ht="15" hidden="false" customHeight="true" outlineLevel="0" collapsed="false">
      <c r="A11" s="18" t="s">
        <v>15</v>
      </c>
      <c r="B11" s="19" t="s">
        <v>16</v>
      </c>
      <c r="C11" s="8"/>
      <c r="D11" s="20" t="n">
        <f aca="false">D$4*Assumptions!$B$17</f>
        <v>400000</v>
      </c>
      <c r="E11" s="20" t="n">
        <f aca="false">E$4*Assumptions!$B$17</f>
        <v>875000</v>
      </c>
      <c r="F11" s="20" t="n">
        <f aca="false">F$4*Assumptions!$B$17</f>
        <v>1250000</v>
      </c>
      <c r="G11" s="20" t="n">
        <f aca="false">G$4*Assumptions!$B$17</f>
        <v>2500000</v>
      </c>
    </row>
    <row r="12" customFormat="false" ht="15" hidden="false" customHeight="true" outlineLevel="0" collapsed="false">
      <c r="A12" s="21" t="s">
        <v>17</v>
      </c>
      <c r="B12" s="13"/>
      <c r="C12" s="8"/>
      <c r="D12" s="22" t="n">
        <f aca="false">SUM(D8:D10)</f>
        <v>675000</v>
      </c>
      <c r="E12" s="22" t="n">
        <f aca="false">SUM(E8:E10)</f>
        <v>912500</v>
      </c>
      <c r="F12" s="22" t="n">
        <f aca="false">SUM(F8:F10)</f>
        <v>1100000</v>
      </c>
      <c r="G12" s="22" t="n">
        <f aca="false">SUM(G8:G10)</f>
        <v>1725000</v>
      </c>
    </row>
    <row r="13" customFormat="false" ht="15" hidden="false" customHeight="true" outlineLevel="0" collapsed="false">
      <c r="A13" s="15" t="s">
        <v>18</v>
      </c>
      <c r="B13" s="16" t="s">
        <v>19</v>
      </c>
      <c r="C13" s="8"/>
      <c r="D13" s="17" t="n">
        <f aca="false">D12*Assumptions!$B$18</f>
        <v>135000</v>
      </c>
      <c r="E13" s="17" t="n">
        <f aca="false">E12*Assumptions!$B$18</f>
        <v>182500</v>
      </c>
      <c r="F13" s="17" t="n">
        <f aca="false">F12*Assumptions!$B$18</f>
        <v>220000</v>
      </c>
      <c r="G13" s="17" t="n">
        <f aca="false">G12*Assumptions!$B$18</f>
        <v>345000</v>
      </c>
    </row>
    <row r="14" customFormat="false" ht="15" hidden="false" customHeight="true" outlineLevel="0" collapsed="false">
      <c r="A14" s="23" t="s">
        <v>20</v>
      </c>
      <c r="B14" s="24"/>
      <c r="C14" s="8"/>
      <c r="D14" s="25" t="n">
        <f aca="false">D12+D13</f>
        <v>810000</v>
      </c>
      <c r="E14" s="25" t="n">
        <f aca="false">E12+E13</f>
        <v>1095000</v>
      </c>
      <c r="F14" s="25" t="n">
        <f aca="false">F12+F13</f>
        <v>1320000</v>
      </c>
      <c r="G14" s="25" t="n">
        <f aca="false">G12+G13</f>
        <v>2070000</v>
      </c>
    </row>
    <row r="15" customFormat="false" ht="15" hidden="false" customHeight="true" outlineLevel="0" collapsed="false">
      <c r="A15" s="15" t="s">
        <v>21</v>
      </c>
      <c r="B15" s="16" t="s">
        <v>22</v>
      </c>
      <c r="C15" s="8"/>
      <c r="D15" s="17" t="n">
        <f aca="false">D14/D$4</f>
        <v>1012.5</v>
      </c>
      <c r="E15" s="17" t="n">
        <f aca="false">E14/E$4</f>
        <v>625.714285714286</v>
      </c>
      <c r="F15" s="17" t="n">
        <f aca="false">F14/F$4</f>
        <v>528</v>
      </c>
      <c r="G15" s="17" t="n">
        <f aca="false">G14/G$4</f>
        <v>414</v>
      </c>
    </row>
    <row r="16" customFormat="false" ht="9.75" hidden="false" customHeight="true" outlineLevel="0" collapsed="false">
      <c r="A16" s="8"/>
      <c r="B16" s="8"/>
      <c r="C16" s="8"/>
      <c r="D16" s="8"/>
      <c r="E16" s="8"/>
      <c r="F16" s="8"/>
      <c r="G16" s="8"/>
    </row>
    <row r="17" customFormat="false" ht="21.75" hidden="false" customHeight="true" outlineLevel="0" collapsed="false">
      <c r="A17" s="7" t="s">
        <v>23</v>
      </c>
      <c r="B17" s="7"/>
      <c r="C17" s="7"/>
      <c r="D17" s="7"/>
      <c r="E17" s="7"/>
      <c r="F17" s="7"/>
      <c r="G17" s="7"/>
    </row>
    <row r="18" customFormat="false" ht="3.75" hidden="false" customHeight="true" outlineLevel="0" collapsed="false">
      <c r="A18" s="8"/>
      <c r="B18" s="8"/>
      <c r="C18" s="8"/>
      <c r="D18" s="8"/>
      <c r="E18" s="8"/>
      <c r="F18" s="8"/>
      <c r="G18" s="8"/>
    </row>
    <row r="19" customFormat="false" ht="18" hidden="false" customHeight="true" outlineLevel="0" collapsed="false">
      <c r="A19" s="26" t="s">
        <v>24</v>
      </c>
      <c r="B19" s="26"/>
      <c r="C19" s="27"/>
      <c r="D19" s="28"/>
      <c r="E19" s="28"/>
      <c r="F19" s="28"/>
      <c r="G19" s="28"/>
    </row>
    <row r="20" customFormat="false" ht="15" hidden="false" customHeight="true" outlineLevel="0" collapsed="false">
      <c r="A20" s="29" t="s">
        <v>25</v>
      </c>
      <c r="B20" s="30" t="s">
        <v>26</v>
      </c>
      <c r="C20" s="8"/>
      <c r="D20" s="31" t="n">
        <f aca="false">CEILING(D$4/Assumptions!$B$4,1)</f>
        <v>32</v>
      </c>
      <c r="E20" s="31" t="n">
        <f aca="false">CEILING(E$4/Assumptions!$B$4,1)</f>
        <v>70</v>
      </c>
      <c r="F20" s="31" t="n">
        <f aca="false">CEILING(F$4/Assumptions!$B$4,1)</f>
        <v>100</v>
      </c>
      <c r="G20" s="31" t="n">
        <f aca="false">CEILING(G$4/Assumptions!$B$4,1)</f>
        <v>200</v>
      </c>
    </row>
    <row r="21" customFormat="false" ht="15" hidden="false" customHeight="true" outlineLevel="0" collapsed="false">
      <c r="A21" s="15" t="s">
        <v>27</v>
      </c>
      <c r="B21" s="16" t="s">
        <v>28</v>
      </c>
      <c r="C21" s="8"/>
      <c r="D21" s="17" t="n">
        <f aca="false">Assumptions!$B$3*Assumptions!$B$5</f>
        <v>780000</v>
      </c>
      <c r="E21" s="17" t="n">
        <f aca="false">Assumptions!$B$3*Assumptions!$B$5</f>
        <v>780000</v>
      </c>
      <c r="F21" s="17" t="n">
        <f aca="false">Assumptions!$B$3*Assumptions!$B$5</f>
        <v>780000</v>
      </c>
      <c r="G21" s="17" t="n">
        <f aca="false">Assumptions!$B$3*Assumptions!$B$5</f>
        <v>780000</v>
      </c>
    </row>
    <row r="22" customFormat="false" ht="15" hidden="false" customHeight="true" outlineLevel="0" collapsed="false">
      <c r="A22" s="12" t="s">
        <v>29</v>
      </c>
      <c r="B22" s="13"/>
      <c r="C22" s="8"/>
      <c r="D22" s="14" t="n">
        <f aca="false">D20*Assumptions!$B$6</f>
        <v>4160000</v>
      </c>
      <c r="E22" s="14" t="n">
        <f aca="false">E20*Assumptions!$B$6</f>
        <v>9100000</v>
      </c>
      <c r="F22" s="14" t="n">
        <f aca="false">F20*Assumptions!$B$6</f>
        <v>13000000</v>
      </c>
      <c r="G22" s="14" t="n">
        <f aca="false">G20*Assumptions!$B$6</f>
        <v>26000000</v>
      </c>
    </row>
    <row r="23" customFormat="false" ht="15" hidden="false" customHeight="true" outlineLevel="0" collapsed="false">
      <c r="A23" s="32" t="s">
        <v>30</v>
      </c>
      <c r="B23" s="16"/>
      <c r="C23" s="8"/>
      <c r="D23" s="33" t="n">
        <f aca="false">D21+D22</f>
        <v>4940000</v>
      </c>
      <c r="E23" s="33" t="n">
        <f aca="false">E21+E22</f>
        <v>9880000</v>
      </c>
      <c r="F23" s="33" t="n">
        <f aca="false">F21+F22</f>
        <v>13780000</v>
      </c>
      <c r="G23" s="33" t="n">
        <f aca="false">G21+G22</f>
        <v>26780000</v>
      </c>
    </row>
    <row r="24" customFormat="false" ht="15" hidden="false" customHeight="true" outlineLevel="0" collapsed="false">
      <c r="A24" s="12" t="s">
        <v>31</v>
      </c>
      <c r="B24" s="13" t="s">
        <v>32</v>
      </c>
      <c r="C24" s="8"/>
      <c r="D24" s="14" t="n">
        <f aca="false">D23*Assumptions!$B$8</f>
        <v>741000</v>
      </c>
      <c r="E24" s="14" t="n">
        <f aca="false">E23*Assumptions!$B$8</f>
        <v>1482000</v>
      </c>
      <c r="F24" s="14" t="n">
        <f aca="false">F23*Assumptions!$B$8</f>
        <v>2067000</v>
      </c>
      <c r="G24" s="14" t="n">
        <f aca="false">G23*Assumptions!$B$8</f>
        <v>4017000</v>
      </c>
    </row>
    <row r="25" customFormat="false" ht="15" hidden="false" customHeight="true" outlineLevel="0" collapsed="false">
      <c r="A25" s="15" t="s">
        <v>33</v>
      </c>
      <c r="B25" s="16"/>
      <c r="C25" s="8"/>
      <c r="D25" s="17" t="n">
        <f aca="false">D$4*Assumptions!$B$10</f>
        <v>4000000</v>
      </c>
      <c r="E25" s="17" t="n">
        <f aca="false">E$4*Assumptions!$B$10</f>
        <v>8750000</v>
      </c>
      <c r="F25" s="17" t="n">
        <f aca="false">F$4*Assumptions!$B$10</f>
        <v>12500000</v>
      </c>
      <c r="G25" s="17" t="n">
        <f aca="false">G$4*Assumptions!$B$10</f>
        <v>25000000</v>
      </c>
    </row>
    <row r="26" customFormat="false" ht="15" hidden="false" customHeight="true" outlineLevel="0" collapsed="false">
      <c r="A26" s="12" t="s">
        <v>34</v>
      </c>
      <c r="B26" s="13"/>
      <c r="C26" s="8"/>
      <c r="D26" s="14" t="n">
        <f aca="false">D$4*Assumptions!$B$11</f>
        <v>640000</v>
      </c>
      <c r="E26" s="14" t="n">
        <f aca="false">E$4*Assumptions!$B$11</f>
        <v>1400000</v>
      </c>
      <c r="F26" s="14" t="n">
        <f aca="false">F$4*Assumptions!$B$11</f>
        <v>2000000</v>
      </c>
      <c r="G26" s="14" t="n">
        <f aca="false">G$4*Assumptions!$B$11</f>
        <v>4000000</v>
      </c>
    </row>
    <row r="27" customFormat="false" ht="15" hidden="false" customHeight="true" outlineLevel="0" collapsed="false">
      <c r="A27" s="23" t="s">
        <v>35</v>
      </c>
      <c r="B27" s="24"/>
      <c r="C27" s="8"/>
      <c r="D27" s="25" t="n">
        <f aca="false">D23+D24+D25+D26</f>
        <v>10321000</v>
      </c>
      <c r="E27" s="25" t="n">
        <f aca="false">E23+E24+E25+E26</f>
        <v>21512000</v>
      </c>
      <c r="F27" s="25" t="n">
        <f aca="false">F23+F24+F25+F26</f>
        <v>30347000</v>
      </c>
      <c r="G27" s="25" t="n">
        <f aca="false">G23+G24+G25+G26</f>
        <v>59797000</v>
      </c>
    </row>
    <row r="28" customFormat="false" ht="15" hidden="false" customHeight="true" outlineLevel="0" collapsed="false">
      <c r="A28" s="12" t="s">
        <v>36</v>
      </c>
      <c r="B28" s="13"/>
      <c r="C28" s="8"/>
      <c r="D28" s="14" t="n">
        <f aca="false">D27/D$4</f>
        <v>12901.25</v>
      </c>
      <c r="E28" s="14" t="n">
        <f aca="false">E27/E$4</f>
        <v>12292.5714285714</v>
      </c>
      <c r="F28" s="14" t="n">
        <f aca="false">F27/F$4</f>
        <v>12138.8</v>
      </c>
      <c r="G28" s="14" t="n">
        <f aca="false">G27/G$4</f>
        <v>11959.4</v>
      </c>
    </row>
    <row r="29" customFormat="false" ht="7.5" hidden="false" customHeight="true" outlineLevel="0" collapsed="false">
      <c r="A29" s="8"/>
      <c r="B29" s="8"/>
      <c r="C29" s="8"/>
      <c r="D29" s="8"/>
      <c r="E29" s="8"/>
      <c r="F29" s="8"/>
      <c r="G29" s="8"/>
    </row>
    <row r="30" customFormat="false" ht="18" hidden="false" customHeight="true" outlineLevel="0" collapsed="false">
      <c r="A30" s="34" t="s">
        <v>37</v>
      </c>
      <c r="B30" s="34"/>
      <c r="C30" s="10"/>
      <c r="D30" s="35"/>
      <c r="E30" s="35"/>
      <c r="F30" s="35"/>
      <c r="G30" s="35"/>
    </row>
    <row r="31" customFormat="false" ht="15" hidden="false" customHeight="true" outlineLevel="0" collapsed="false">
      <c r="A31" s="15" t="s">
        <v>38</v>
      </c>
      <c r="B31" s="16"/>
      <c r="C31" s="8"/>
      <c r="D31" s="17" t="n">
        <f aca="false">Assumptions!$B$3*Assumptions!$B$5</f>
        <v>780000</v>
      </c>
      <c r="E31" s="17" t="n">
        <f aca="false">Assumptions!$B$3*Assumptions!$B$5</f>
        <v>780000</v>
      </c>
      <c r="F31" s="17" t="n">
        <f aca="false">Assumptions!$B$3*Assumptions!$B$5</f>
        <v>780000</v>
      </c>
      <c r="G31" s="17" t="n">
        <f aca="false">Assumptions!$B$3*Assumptions!$B$5</f>
        <v>780000</v>
      </c>
    </row>
    <row r="32" customFormat="false" ht="15" hidden="false" customHeight="true" outlineLevel="0" collapsed="false">
      <c r="A32" s="12" t="s">
        <v>39</v>
      </c>
      <c r="B32" s="13"/>
      <c r="C32" s="8"/>
      <c r="D32" s="14" t="n">
        <f aca="false">CEILING(D$4/Assumptions!$B$4,1)*0.5*Assumptions!$B$6</f>
        <v>2080000</v>
      </c>
      <c r="E32" s="14" t="n">
        <f aca="false">CEILING(E$4/Assumptions!$B$4,1)*0.5*Assumptions!$B$6</f>
        <v>4550000</v>
      </c>
      <c r="F32" s="14" t="n">
        <f aca="false">CEILING(F$4/Assumptions!$B$4,1)*0.5*Assumptions!$B$6</f>
        <v>6500000</v>
      </c>
      <c r="G32" s="14" t="n">
        <f aca="false">CEILING(G$4/Assumptions!$B$4,1)*0.5*Assumptions!$B$6</f>
        <v>13000000</v>
      </c>
    </row>
    <row r="33" customFormat="false" ht="15" hidden="false" customHeight="true" outlineLevel="0" collapsed="false">
      <c r="A33" s="32" t="s">
        <v>30</v>
      </c>
      <c r="B33" s="16"/>
      <c r="C33" s="8"/>
      <c r="D33" s="33" t="n">
        <f aca="false">D31+D32</f>
        <v>2860000</v>
      </c>
      <c r="E33" s="33" t="n">
        <f aca="false">E31+E32</f>
        <v>5330000</v>
      </c>
      <c r="F33" s="33" t="n">
        <f aca="false">F31+F32</f>
        <v>7280000</v>
      </c>
      <c r="G33" s="33" t="n">
        <f aca="false">G31+G32</f>
        <v>13780000</v>
      </c>
    </row>
    <row r="34" customFormat="false" ht="15" hidden="false" customHeight="true" outlineLevel="0" collapsed="false">
      <c r="A34" s="12" t="s">
        <v>31</v>
      </c>
      <c r="B34" s="13"/>
      <c r="C34" s="8"/>
      <c r="D34" s="14" t="n">
        <f aca="false">D33*Assumptions!$B$8</f>
        <v>429000</v>
      </c>
      <c r="E34" s="14" t="n">
        <f aca="false">E33*Assumptions!$B$8</f>
        <v>799500</v>
      </c>
      <c r="F34" s="14" t="n">
        <f aca="false">F33*Assumptions!$B$8</f>
        <v>1092000</v>
      </c>
      <c r="G34" s="14" t="n">
        <f aca="false">G33*Assumptions!$B$8</f>
        <v>2067000</v>
      </c>
    </row>
    <row r="35" customFormat="false" ht="15" hidden="false" customHeight="true" outlineLevel="0" collapsed="false">
      <c r="A35" s="15" t="s">
        <v>40</v>
      </c>
      <c r="B35" s="16"/>
      <c r="C35" s="8"/>
      <c r="D35" s="17" t="n">
        <f aca="false">D$4*Assumptions!$B$10</f>
        <v>4000000</v>
      </c>
      <c r="E35" s="17" t="n">
        <f aca="false">E$4*Assumptions!$B$10</f>
        <v>8750000</v>
      </c>
      <c r="F35" s="17" t="n">
        <f aca="false">F$4*Assumptions!$B$10</f>
        <v>12500000</v>
      </c>
      <c r="G35" s="17" t="n">
        <f aca="false">G$4*Assumptions!$B$10</f>
        <v>25000000</v>
      </c>
    </row>
    <row r="36" customFormat="false" ht="15" hidden="false" customHeight="true" outlineLevel="0" collapsed="false">
      <c r="A36" s="12" t="s">
        <v>41</v>
      </c>
      <c r="B36" s="13"/>
      <c r="C36" s="8"/>
      <c r="D36" s="14" t="n">
        <f aca="false">D$4*Assumptions!$B$11</f>
        <v>640000</v>
      </c>
      <c r="E36" s="14" t="n">
        <f aca="false">E$4*Assumptions!$B$11</f>
        <v>1400000</v>
      </c>
      <c r="F36" s="14" t="n">
        <f aca="false">F$4*Assumptions!$B$11</f>
        <v>2000000</v>
      </c>
      <c r="G36" s="14" t="n">
        <f aca="false">G$4*Assumptions!$B$11</f>
        <v>4000000</v>
      </c>
    </row>
    <row r="37" customFormat="false" ht="15" hidden="false" customHeight="true" outlineLevel="0" collapsed="false">
      <c r="A37" s="23" t="s">
        <v>42</v>
      </c>
      <c r="B37" s="24"/>
      <c r="C37" s="8"/>
      <c r="D37" s="25" t="n">
        <f aca="false">D33+D34+D35+D36</f>
        <v>7929000</v>
      </c>
      <c r="E37" s="25" t="n">
        <f aca="false">E33+E34+E35+E36</f>
        <v>16279500</v>
      </c>
      <c r="F37" s="25" t="n">
        <f aca="false">F33+F34+F35+F36</f>
        <v>22872000</v>
      </c>
      <c r="G37" s="25" t="n">
        <f aca="false">G33+G34+G35+G36</f>
        <v>44847000</v>
      </c>
    </row>
    <row r="38" customFormat="false" ht="15" hidden="false" customHeight="true" outlineLevel="0" collapsed="false">
      <c r="A38" s="12" t="s">
        <v>43</v>
      </c>
      <c r="B38" s="13"/>
      <c r="C38" s="8"/>
      <c r="D38" s="14" t="n">
        <f aca="false">D37/D$4</f>
        <v>9911.25</v>
      </c>
      <c r="E38" s="14" t="n">
        <f aca="false">E37/E$4</f>
        <v>9302.57142857143</v>
      </c>
      <c r="F38" s="14" t="n">
        <f aca="false">F37/F$4</f>
        <v>9148.8</v>
      </c>
      <c r="G38" s="14" t="n">
        <f aca="false">G37/G$4</f>
        <v>8969.4</v>
      </c>
    </row>
    <row r="39" customFormat="false" ht="7.5" hidden="false" customHeight="true" outlineLevel="0" collapsed="false">
      <c r="A39" s="8"/>
      <c r="B39" s="8"/>
      <c r="C39" s="8"/>
      <c r="D39" s="8"/>
      <c r="E39" s="8"/>
      <c r="F39" s="8"/>
      <c r="G39" s="8"/>
    </row>
    <row r="40" customFormat="false" ht="18" hidden="false" customHeight="true" outlineLevel="0" collapsed="false">
      <c r="A40" s="36" t="s">
        <v>44</v>
      </c>
      <c r="B40" s="36"/>
      <c r="C40" s="37"/>
      <c r="D40" s="38"/>
      <c r="E40" s="38"/>
      <c r="F40" s="38"/>
      <c r="G40" s="38"/>
    </row>
    <row r="41" customFormat="false" ht="15" hidden="false" customHeight="true" outlineLevel="0" collapsed="false">
      <c r="A41" s="15" t="s">
        <v>45</v>
      </c>
      <c r="B41" s="16"/>
      <c r="C41" s="8"/>
      <c r="D41" s="17" t="n">
        <f aca="false">Assumptions!$B$3*Assumptions!$B$5</f>
        <v>780000</v>
      </c>
      <c r="E41" s="17" t="n">
        <f aca="false">Assumptions!$B$3*Assumptions!$B$5</f>
        <v>780000</v>
      </c>
      <c r="F41" s="17" t="n">
        <f aca="false">Assumptions!$B$3*Assumptions!$B$5</f>
        <v>780000</v>
      </c>
      <c r="G41" s="17" t="n">
        <f aca="false">Assumptions!$B$3*Assumptions!$B$5</f>
        <v>780000</v>
      </c>
    </row>
    <row r="42" customFormat="false" ht="15" hidden="false" customHeight="true" outlineLevel="0" collapsed="false">
      <c r="A42" s="12" t="s">
        <v>46</v>
      </c>
      <c r="B42" s="13" t="s">
        <v>47</v>
      </c>
      <c r="C42" s="8"/>
      <c r="D42" s="14" t="n">
        <f aca="false">Assumptions!$B$3*Assumptions!$B$7</f>
        <v>450000</v>
      </c>
      <c r="E42" s="14" t="n">
        <f aca="false">Assumptions!$B$3*Assumptions!$B$7</f>
        <v>450000</v>
      </c>
      <c r="F42" s="14" t="n">
        <f aca="false">Assumptions!$B$3*Assumptions!$B$7</f>
        <v>450000</v>
      </c>
      <c r="G42" s="14" t="n">
        <f aca="false">Assumptions!$B$3*Assumptions!$B$7</f>
        <v>450000</v>
      </c>
    </row>
    <row r="43" customFormat="false" ht="15" hidden="false" customHeight="true" outlineLevel="0" collapsed="false">
      <c r="A43" s="32" t="s">
        <v>30</v>
      </c>
      <c r="B43" s="16"/>
      <c r="C43" s="8"/>
      <c r="D43" s="33" t="n">
        <f aca="false">D41+D42</f>
        <v>1230000</v>
      </c>
      <c r="E43" s="33" t="n">
        <f aca="false">E41+E42</f>
        <v>1230000</v>
      </c>
      <c r="F43" s="33" t="n">
        <f aca="false">F41+F42</f>
        <v>1230000</v>
      </c>
      <c r="G43" s="33" t="n">
        <f aca="false">G41+G42</f>
        <v>1230000</v>
      </c>
    </row>
    <row r="44" customFormat="false" ht="15" hidden="false" customHeight="true" outlineLevel="0" collapsed="false">
      <c r="A44" s="12" t="s">
        <v>31</v>
      </c>
      <c r="B44" s="13"/>
      <c r="C44" s="8"/>
      <c r="D44" s="14" t="n">
        <f aca="false">D43*Assumptions!$B$8</f>
        <v>184500</v>
      </c>
      <c r="E44" s="14" t="n">
        <f aca="false">E43*Assumptions!$B$8</f>
        <v>184500</v>
      </c>
      <c r="F44" s="14" t="n">
        <f aca="false">F43*Assumptions!$B$8</f>
        <v>184500</v>
      </c>
      <c r="G44" s="14" t="n">
        <f aca="false">G43*Assumptions!$B$8</f>
        <v>184500</v>
      </c>
    </row>
    <row r="45" customFormat="false" ht="15" hidden="false" customHeight="true" outlineLevel="0" collapsed="false">
      <c r="A45" s="15" t="s">
        <v>40</v>
      </c>
      <c r="B45" s="16"/>
      <c r="C45" s="8"/>
      <c r="D45" s="17" t="n">
        <f aca="false">D$4*Assumptions!$B$10</f>
        <v>4000000</v>
      </c>
      <c r="E45" s="17" t="n">
        <f aca="false">E$4*Assumptions!$B$10</f>
        <v>8750000</v>
      </c>
      <c r="F45" s="17" t="n">
        <f aca="false">F$4*Assumptions!$B$10</f>
        <v>12500000</v>
      </c>
      <c r="G45" s="17" t="n">
        <f aca="false">G$4*Assumptions!$B$10</f>
        <v>25000000</v>
      </c>
    </row>
    <row r="46" customFormat="false" ht="15" hidden="false" customHeight="true" outlineLevel="0" collapsed="false">
      <c r="A46" s="12" t="s">
        <v>41</v>
      </c>
      <c r="B46" s="13"/>
      <c r="C46" s="8"/>
      <c r="D46" s="14" t="n">
        <f aca="false">D$4*Assumptions!$B$11</f>
        <v>640000</v>
      </c>
      <c r="E46" s="14" t="n">
        <f aca="false">E$4*Assumptions!$B$11</f>
        <v>1400000</v>
      </c>
      <c r="F46" s="14" t="n">
        <f aca="false">F$4*Assumptions!$B$11</f>
        <v>2000000</v>
      </c>
      <c r="G46" s="14" t="n">
        <f aca="false">G$4*Assumptions!$B$11</f>
        <v>4000000</v>
      </c>
    </row>
    <row r="47" customFormat="false" ht="15" hidden="false" customHeight="true" outlineLevel="0" collapsed="false">
      <c r="A47" s="23" t="s">
        <v>48</v>
      </c>
      <c r="B47" s="24"/>
      <c r="C47" s="8"/>
      <c r="D47" s="25" t="n">
        <f aca="false">D43+D44+D45+D46</f>
        <v>6054500</v>
      </c>
      <c r="E47" s="25" t="n">
        <f aca="false">E43+E44+E45+E46</f>
        <v>11564500</v>
      </c>
      <c r="F47" s="25" t="n">
        <f aca="false">F43+F44+F45+F46</f>
        <v>15914500</v>
      </c>
      <c r="G47" s="25" t="n">
        <f aca="false">G43+G44+G45+G46</f>
        <v>30414500</v>
      </c>
    </row>
    <row r="48" customFormat="false" ht="15" hidden="false" customHeight="true" outlineLevel="0" collapsed="false">
      <c r="A48" s="12" t="s">
        <v>49</v>
      </c>
      <c r="B48" s="13"/>
      <c r="C48" s="8"/>
      <c r="D48" s="14" t="n">
        <f aca="false">D47/D$4</f>
        <v>7568.125</v>
      </c>
      <c r="E48" s="14" t="n">
        <f aca="false">E47/E$4</f>
        <v>6608.28571428572</v>
      </c>
      <c r="F48" s="14" t="n">
        <f aca="false">F47/F$4</f>
        <v>6365.8</v>
      </c>
      <c r="G48" s="14" t="n">
        <f aca="false">G47/G$4</f>
        <v>6082.9</v>
      </c>
    </row>
    <row r="49" customFormat="false" ht="9.75" hidden="false" customHeight="true" outlineLevel="0" collapsed="false">
      <c r="A49" s="8"/>
      <c r="B49" s="8"/>
      <c r="C49" s="8"/>
      <c r="D49" s="8"/>
      <c r="E49" s="8"/>
      <c r="F49" s="8"/>
      <c r="G49" s="8"/>
    </row>
    <row r="50" customFormat="false" ht="21.75" hidden="false" customHeight="true" outlineLevel="0" collapsed="false">
      <c r="A50" s="39" t="s">
        <v>50</v>
      </c>
      <c r="B50" s="39"/>
      <c r="C50" s="39"/>
      <c r="D50" s="39"/>
      <c r="E50" s="39"/>
      <c r="F50" s="39"/>
      <c r="G50" s="39"/>
    </row>
    <row r="51" customFormat="false" ht="3.75" hidden="false" customHeight="true" outlineLevel="0" collapsed="false">
      <c r="A51" s="8"/>
      <c r="B51" s="8"/>
      <c r="C51" s="8"/>
      <c r="D51" s="8"/>
      <c r="E51" s="8"/>
      <c r="F51" s="8"/>
      <c r="G51" s="8"/>
    </row>
    <row r="52" customFormat="false" ht="18" hidden="false" customHeight="true" outlineLevel="0" collapsed="false">
      <c r="A52" s="34" t="s">
        <v>51</v>
      </c>
      <c r="B52" s="34"/>
      <c r="C52" s="10"/>
      <c r="D52" s="35"/>
      <c r="E52" s="35"/>
      <c r="F52" s="35"/>
      <c r="G52" s="35"/>
    </row>
    <row r="53" customFormat="false" ht="15" hidden="false" customHeight="true" outlineLevel="0" collapsed="false">
      <c r="A53" s="15" t="s">
        <v>52</v>
      </c>
      <c r="B53" s="16"/>
      <c r="C53" s="8"/>
      <c r="D53" s="17" t="n">
        <f aca="false">D28</f>
        <v>12901.25</v>
      </c>
      <c r="E53" s="17" t="n">
        <f aca="false">E28</f>
        <v>12292.5714285714</v>
      </c>
      <c r="F53" s="17" t="n">
        <f aca="false">F28</f>
        <v>12138.8</v>
      </c>
      <c r="G53" s="17" t="n">
        <f aca="false">G28</f>
        <v>11959.4</v>
      </c>
    </row>
    <row r="54" customFormat="false" ht="15" hidden="false" customHeight="true" outlineLevel="0" collapsed="false">
      <c r="A54" s="12" t="s">
        <v>53</v>
      </c>
      <c r="B54" s="13"/>
      <c r="C54" s="8"/>
      <c r="D54" s="14" t="n">
        <f aca="false">D38</f>
        <v>9911.25</v>
      </c>
      <c r="E54" s="14" t="n">
        <f aca="false">E38</f>
        <v>9302.57142857143</v>
      </c>
      <c r="F54" s="14" t="n">
        <f aca="false">F38</f>
        <v>9148.8</v>
      </c>
      <c r="G54" s="14" t="n">
        <f aca="false">G38</f>
        <v>8969.4</v>
      </c>
    </row>
    <row r="55" customFormat="false" ht="15" hidden="false" customHeight="true" outlineLevel="0" collapsed="false">
      <c r="A55" s="40" t="s">
        <v>54</v>
      </c>
      <c r="B55" s="41"/>
      <c r="C55" s="8"/>
      <c r="D55" s="42" t="n">
        <f aca="false">D48</f>
        <v>7568.125</v>
      </c>
      <c r="E55" s="42" t="n">
        <f aca="false">E48</f>
        <v>6608.28571428572</v>
      </c>
      <c r="F55" s="42" t="n">
        <f aca="false">F48</f>
        <v>6365.8</v>
      </c>
      <c r="G55" s="42" t="n">
        <f aca="false">G48</f>
        <v>6082.9</v>
      </c>
    </row>
    <row r="56" customFormat="false" ht="6" hidden="false" customHeight="true" outlineLevel="0" collapsed="false">
      <c r="A56" s="8"/>
      <c r="B56" s="8"/>
      <c r="C56" s="8"/>
      <c r="D56" s="8"/>
      <c r="E56" s="8"/>
      <c r="F56" s="8"/>
      <c r="G56" s="8"/>
    </row>
    <row r="57" customFormat="false" ht="18" hidden="false" customHeight="true" outlineLevel="0" collapsed="false">
      <c r="A57" s="43" t="s">
        <v>55</v>
      </c>
      <c r="B57" s="43"/>
      <c r="C57" s="44"/>
      <c r="D57" s="45"/>
      <c r="E57" s="45"/>
      <c r="F57" s="45"/>
      <c r="G57" s="45"/>
    </row>
    <row r="58" customFormat="false" ht="15" hidden="false" customHeight="true" outlineLevel="0" collapsed="false">
      <c r="A58" s="18" t="s">
        <v>56</v>
      </c>
      <c r="B58" s="19" t="s">
        <v>57</v>
      </c>
      <c r="C58" s="8"/>
      <c r="D58" s="46" t="n">
        <v>8500</v>
      </c>
      <c r="E58" s="46" t="n">
        <v>8500</v>
      </c>
      <c r="F58" s="46" t="n">
        <v>8500</v>
      </c>
      <c r="G58" s="46" t="n">
        <v>8500</v>
      </c>
    </row>
    <row r="59" customFormat="false" ht="15" hidden="false" customHeight="true" outlineLevel="0" collapsed="false">
      <c r="A59" s="18" t="s">
        <v>58</v>
      </c>
      <c r="B59" s="19" t="s">
        <v>59</v>
      </c>
      <c r="C59" s="8"/>
      <c r="D59" s="46" t="n">
        <v>13000</v>
      </c>
      <c r="E59" s="46" t="n">
        <v>13000</v>
      </c>
      <c r="F59" s="46" t="n">
        <v>13000</v>
      </c>
      <c r="G59" s="46" t="n">
        <v>13000</v>
      </c>
    </row>
    <row r="60" customFormat="false" ht="15" hidden="false" customHeight="true" outlineLevel="0" collapsed="false">
      <c r="A60" s="18" t="s">
        <v>60</v>
      </c>
      <c r="B60" s="19" t="s">
        <v>61</v>
      </c>
      <c r="C60" s="8"/>
      <c r="D60" s="46" t="n">
        <v>24000</v>
      </c>
      <c r="E60" s="46" t="n">
        <v>24000</v>
      </c>
      <c r="F60" s="46" t="n">
        <v>24000</v>
      </c>
      <c r="G60" s="46" t="n">
        <v>24000</v>
      </c>
    </row>
    <row r="61" customFormat="false" ht="6" hidden="false" customHeight="true" outlineLevel="0" collapsed="false">
      <c r="A61" s="8"/>
      <c r="B61" s="8"/>
      <c r="C61" s="8"/>
      <c r="D61" s="8"/>
      <c r="E61" s="8"/>
      <c r="F61" s="8"/>
      <c r="G61" s="8"/>
    </row>
    <row r="62" customFormat="false" ht="21.75" hidden="false" customHeight="true" outlineLevel="0" collapsed="false">
      <c r="A62" s="47" t="s">
        <v>62</v>
      </c>
      <c r="B62" s="47"/>
      <c r="C62" s="47"/>
      <c r="D62" s="47"/>
      <c r="E62" s="47"/>
      <c r="F62" s="47"/>
      <c r="G62" s="47"/>
    </row>
    <row r="63" customFormat="false" ht="25.5" hidden="false" customHeight="true" outlineLevel="0" collapsed="false">
      <c r="A63" s="48" t="s">
        <v>63</v>
      </c>
      <c r="B63" s="48"/>
      <c r="C63" s="48"/>
      <c r="D63" s="48"/>
      <c r="E63" s="48"/>
      <c r="F63" s="48"/>
      <c r="G63" s="48"/>
    </row>
    <row r="64" customFormat="false" ht="25.5" hidden="false" customHeight="true" outlineLevel="0" collapsed="false">
      <c r="A64" s="49" t="s">
        <v>64</v>
      </c>
      <c r="B64" s="49"/>
      <c r="C64" s="49"/>
      <c r="D64" s="49"/>
      <c r="E64" s="49"/>
      <c r="F64" s="49"/>
      <c r="G64" s="49"/>
    </row>
    <row r="65" customFormat="false" ht="25.5" hidden="false" customHeight="true" outlineLevel="0" collapsed="false">
      <c r="A65" s="48" t="s">
        <v>65</v>
      </c>
      <c r="B65" s="48"/>
      <c r="C65" s="48"/>
      <c r="D65" s="48"/>
      <c r="E65" s="48"/>
      <c r="F65" s="48"/>
      <c r="G65" s="48"/>
    </row>
    <row r="66" customFormat="false" ht="25.5" hidden="false" customHeight="true" outlineLevel="0" collapsed="false">
      <c r="A66" s="49" t="s">
        <v>66</v>
      </c>
      <c r="B66" s="49"/>
      <c r="C66" s="49"/>
      <c r="D66" s="49"/>
      <c r="E66" s="49"/>
      <c r="F66" s="49"/>
      <c r="G66" s="49"/>
    </row>
    <row r="67" customFormat="false" ht="25.5" hidden="false" customHeight="true" outlineLevel="0" collapsed="false">
      <c r="A67" s="48" t="s">
        <v>67</v>
      </c>
      <c r="B67" s="48"/>
      <c r="C67" s="48"/>
      <c r="D67" s="48"/>
      <c r="E67" s="48"/>
      <c r="F67" s="48"/>
      <c r="G67" s="48"/>
    </row>
  </sheetData>
  <mergeCells count="17">
    <mergeCell ref="A1:G1"/>
    <mergeCell ref="A2:G2"/>
    <mergeCell ref="A5:G5"/>
    <mergeCell ref="A7:B7"/>
    <mergeCell ref="A17:G17"/>
    <mergeCell ref="A19:B19"/>
    <mergeCell ref="A30:B30"/>
    <mergeCell ref="A40:B40"/>
    <mergeCell ref="A50:G50"/>
    <mergeCell ref="A52:B52"/>
    <mergeCell ref="A57:B57"/>
    <mergeCell ref="A62:G62"/>
    <mergeCell ref="A63:G63"/>
    <mergeCell ref="A64:G64"/>
    <mergeCell ref="A65:G65"/>
    <mergeCell ref="A66:G66"/>
    <mergeCell ref="A67:G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97D"/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40"/>
  </cols>
  <sheetData>
    <row r="1" customFormat="false" ht="19.5" hidden="false" customHeight="true" outlineLevel="0" collapsed="false">
      <c r="A1" s="50" t="s">
        <v>68</v>
      </c>
      <c r="B1" s="50" t="s">
        <v>69</v>
      </c>
      <c r="C1" s="50" t="s">
        <v>70</v>
      </c>
      <c r="D1" s="50" t="s">
        <v>71</v>
      </c>
    </row>
    <row r="2" customFormat="false" ht="18" hidden="false" customHeight="true" outlineLevel="0" collapsed="false">
      <c r="A2" s="51" t="s">
        <v>72</v>
      </c>
      <c r="B2" s="52"/>
      <c r="C2" s="52"/>
      <c r="D2" s="52"/>
    </row>
    <row r="3" customFormat="false" ht="15.75" hidden="false" customHeight="true" outlineLevel="0" collapsed="false">
      <c r="A3" s="53" t="s">
        <v>73</v>
      </c>
      <c r="B3" s="54" t="n">
        <v>3</v>
      </c>
      <c r="C3" s="55" t="s">
        <v>74</v>
      </c>
      <c r="D3" s="56" t="s">
        <v>75</v>
      </c>
    </row>
    <row r="4" customFormat="false" ht="15.75" hidden="false" customHeight="true" outlineLevel="0" collapsed="false">
      <c r="A4" s="57" t="s">
        <v>76</v>
      </c>
      <c r="B4" s="54" t="n">
        <v>25</v>
      </c>
      <c r="C4" s="58" t="s">
        <v>77</v>
      </c>
      <c r="D4" s="59" t="s">
        <v>78</v>
      </c>
    </row>
    <row r="5" customFormat="false" ht="15.75" hidden="false" customHeight="true" outlineLevel="0" collapsed="false">
      <c r="A5" s="53" t="s">
        <v>79</v>
      </c>
      <c r="B5" s="60" t="n">
        <v>260000</v>
      </c>
      <c r="C5" s="55" t="s">
        <v>80</v>
      </c>
      <c r="D5" s="56" t="s">
        <v>81</v>
      </c>
    </row>
    <row r="6" customFormat="false" ht="15.75" hidden="false" customHeight="true" outlineLevel="0" collapsed="false">
      <c r="A6" s="57" t="s">
        <v>82</v>
      </c>
      <c r="B6" s="60" t="n">
        <v>130000</v>
      </c>
      <c r="C6" s="58" t="s">
        <v>80</v>
      </c>
      <c r="D6" s="59" t="s">
        <v>83</v>
      </c>
    </row>
    <row r="7" customFormat="false" ht="15.75" hidden="false" customHeight="true" outlineLevel="0" collapsed="false">
      <c r="A7" s="53" t="s">
        <v>84</v>
      </c>
      <c r="B7" s="60" t="n">
        <v>150000</v>
      </c>
      <c r="C7" s="55" t="s">
        <v>80</v>
      </c>
      <c r="D7" s="56" t="s">
        <v>85</v>
      </c>
    </row>
    <row r="8" customFormat="false" ht="15.75" hidden="false" customHeight="true" outlineLevel="0" collapsed="false">
      <c r="A8" s="57" t="s">
        <v>86</v>
      </c>
      <c r="B8" s="61" t="n">
        <v>0.15</v>
      </c>
      <c r="C8" s="58" t="s">
        <v>87</v>
      </c>
      <c r="D8" s="59" t="s">
        <v>88</v>
      </c>
    </row>
    <row r="9" customFormat="false" ht="18" hidden="false" customHeight="true" outlineLevel="0" collapsed="false">
      <c r="A9" s="51" t="s">
        <v>89</v>
      </c>
      <c r="B9" s="52"/>
      <c r="C9" s="52"/>
      <c r="D9" s="52"/>
    </row>
    <row r="10" customFormat="false" ht="15.75" hidden="false" customHeight="true" outlineLevel="0" collapsed="false">
      <c r="A10" s="57" t="s">
        <v>90</v>
      </c>
      <c r="B10" s="60" t="n">
        <v>5000</v>
      </c>
      <c r="C10" s="58" t="s">
        <v>91</v>
      </c>
      <c r="D10" s="59" t="s">
        <v>92</v>
      </c>
    </row>
    <row r="11" customFormat="false" ht="15.75" hidden="false" customHeight="true" outlineLevel="0" collapsed="false">
      <c r="A11" s="53" t="s">
        <v>93</v>
      </c>
      <c r="B11" s="60" t="n">
        <v>800</v>
      </c>
      <c r="C11" s="55" t="s">
        <v>91</v>
      </c>
      <c r="D11" s="56" t="s">
        <v>94</v>
      </c>
    </row>
    <row r="12" customFormat="false" ht="18" hidden="false" customHeight="true" outlineLevel="0" collapsed="false">
      <c r="A12" s="51" t="s">
        <v>95</v>
      </c>
      <c r="B12" s="52"/>
      <c r="C12" s="52"/>
      <c r="D12" s="52"/>
    </row>
    <row r="13" customFormat="false" ht="15.75" hidden="false" customHeight="true" outlineLevel="0" collapsed="false">
      <c r="A13" s="53" t="s">
        <v>96</v>
      </c>
      <c r="B13" s="60" t="n">
        <v>100000</v>
      </c>
      <c r="C13" s="55" t="s">
        <v>97</v>
      </c>
      <c r="D13" s="56" t="s">
        <v>98</v>
      </c>
    </row>
    <row r="14" customFormat="false" ht="15.75" hidden="false" customHeight="true" outlineLevel="0" collapsed="false">
      <c r="A14" s="57" t="s">
        <v>99</v>
      </c>
      <c r="B14" s="60" t="n">
        <v>175000</v>
      </c>
      <c r="C14" s="58" t="s">
        <v>100</v>
      </c>
      <c r="D14" s="59" t="s">
        <v>101</v>
      </c>
    </row>
    <row r="15" customFormat="false" ht="15.75" hidden="false" customHeight="true" outlineLevel="0" collapsed="false">
      <c r="A15" s="53" t="s">
        <v>102</v>
      </c>
      <c r="B15" s="60" t="n">
        <v>150</v>
      </c>
      <c r="C15" s="55" t="s">
        <v>103</v>
      </c>
      <c r="D15" s="56" t="s">
        <v>104</v>
      </c>
    </row>
    <row r="16" customFormat="false" ht="15.75" hidden="false" customHeight="true" outlineLevel="0" collapsed="false">
      <c r="A16" s="57" t="s">
        <v>105</v>
      </c>
      <c r="B16" s="60" t="n">
        <v>2500</v>
      </c>
      <c r="C16" s="58" t="s">
        <v>106</v>
      </c>
      <c r="D16" s="59" t="s">
        <v>107</v>
      </c>
    </row>
    <row r="17" customFormat="false" ht="15.75" hidden="false" customHeight="true" outlineLevel="0" collapsed="false">
      <c r="A17" s="53" t="s">
        <v>108</v>
      </c>
      <c r="B17" s="60" t="n">
        <v>500</v>
      </c>
      <c r="C17" s="55" t="s">
        <v>103</v>
      </c>
      <c r="D17" s="56" t="s">
        <v>109</v>
      </c>
    </row>
    <row r="18" customFormat="false" ht="15.75" hidden="false" customHeight="true" outlineLevel="0" collapsed="false">
      <c r="A18" s="57" t="s">
        <v>110</v>
      </c>
      <c r="B18" s="61" t="n">
        <v>0.2</v>
      </c>
      <c r="C18" s="58" t="s">
        <v>111</v>
      </c>
      <c r="D18" s="59" t="s">
        <v>112</v>
      </c>
    </row>
    <row r="19" customFormat="false" ht="18" hidden="false" customHeight="true" outlineLevel="0" collapsed="false">
      <c r="A19" s="51" t="s">
        <v>113</v>
      </c>
      <c r="B19" s="52"/>
      <c r="C19" s="52"/>
      <c r="D19" s="52"/>
    </row>
    <row r="20" customFormat="false" ht="15.75" hidden="false" customHeight="true" outlineLevel="0" collapsed="false">
      <c r="A20" s="57" t="s">
        <v>114</v>
      </c>
      <c r="B20" s="61" t="n">
        <v>1</v>
      </c>
      <c r="C20" s="58" t="s">
        <v>115</v>
      </c>
      <c r="D20" s="59" t="s">
        <v>116</v>
      </c>
    </row>
    <row r="21" customFormat="false" ht="15.75" hidden="false" customHeight="true" outlineLevel="0" collapsed="false">
      <c r="A21" s="53" t="s">
        <v>117</v>
      </c>
      <c r="B21" s="61" t="n">
        <v>0.5</v>
      </c>
      <c r="C21" s="55" t="s">
        <v>118</v>
      </c>
      <c r="D21" s="56" t="s">
        <v>119</v>
      </c>
    </row>
    <row r="22" customFormat="false" ht="15.75" hidden="false" customHeight="true" outlineLevel="0" collapsed="false">
      <c r="A22" s="57" t="s">
        <v>120</v>
      </c>
      <c r="B22" s="61" t="n">
        <v>0</v>
      </c>
      <c r="C22" s="58" t="s">
        <v>121</v>
      </c>
      <c r="D22" s="59" t="s">
        <v>122</v>
      </c>
    </row>
    <row r="23" customFormat="false" ht="7.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2026-05-28T10:25:13Z</dcterms:created>
  <dc:creator>openpyxl</dc:creator>
  <dc:description/>
  <dc:language>en-US</dc:language>
  <cp:lastModifiedBy/>
  <dcterms:modified xsi:type="dcterms:W3CDTF">2026-05-28T10:25:13Z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